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04739996ececcd4/Claude/financial-model/output/"/>
    </mc:Choice>
  </mc:AlternateContent>
  <xr:revisionPtr revIDLastSave="0" documentId="11_BF4EEE5F21BEAB11624F439CAD85ACE0C6556149" xr6:coauthVersionLast="47" xr6:coauthVersionMax="47" xr10:uidLastSave="{00000000-0000-0000-0000-000000000000}"/>
  <bookViews>
    <workbookView xWindow="6240" yWindow="4270" windowWidth="18720" windowHeight="11650" xr2:uid="{00000000-000D-0000-FFFF-FFFF00000000}"/>
  </bookViews>
  <sheets>
    <sheet name="Cover" sheetId="1" r:id="rId1"/>
    <sheet name="Inputs" sheetId="2" r:id="rId2"/>
    <sheet name="Forecast" sheetId="3" r:id="rId3"/>
    <sheet name="DCF" sheetId="4" r:id="rId4"/>
    <sheet name="LBO" sheetId="5" r:id="rId5"/>
    <sheet name="Merger" sheetId="6" r:id="rId6"/>
    <sheet name="Portfolio" sheetId="7" r:id="rId7"/>
    <sheet name="Checks" sheetId="8" r:id="rId8"/>
    <sheet name="History" sheetId="9" r:id="rId9"/>
  </sheets>
  <calcPr calcId="191029" iterate="1" iterateCount="10000" iterateDelta="1E-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9" l="1"/>
  <c r="E46" i="9"/>
  <c r="D46" i="9"/>
  <c r="C46" i="9"/>
  <c r="B46" i="9"/>
  <c r="B5" i="8"/>
  <c r="D5" i="8" s="1"/>
  <c r="F5" i="8" s="1"/>
  <c r="E54" i="7"/>
  <c r="E53" i="7"/>
  <c r="E52" i="7"/>
  <c r="E51" i="7"/>
  <c r="E50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I23" i="7"/>
  <c r="H23" i="7"/>
  <c r="G23" i="7"/>
  <c r="F23" i="7"/>
  <c r="E23" i="7"/>
  <c r="B40" i="8" s="1"/>
  <c r="D40" i="8" s="1"/>
  <c r="F40" i="8" s="1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F58" i="6"/>
  <c r="E58" i="6"/>
  <c r="D58" i="6"/>
  <c r="C58" i="6"/>
  <c r="B58" i="6"/>
  <c r="B48" i="6"/>
  <c r="B43" i="6"/>
  <c r="B40" i="6"/>
  <c r="B34" i="6"/>
  <c r="B32" i="6"/>
  <c r="B33" i="6" s="1"/>
  <c r="B61" i="5"/>
  <c r="C61" i="5" s="1"/>
  <c r="C62" i="5" s="1"/>
  <c r="B53" i="5"/>
  <c r="B85" i="5" s="1"/>
  <c r="B43" i="5"/>
  <c r="B42" i="5"/>
  <c r="F46" i="4"/>
  <c r="E46" i="4"/>
  <c r="D46" i="4"/>
  <c r="C46" i="4"/>
  <c r="B46" i="4"/>
  <c r="B32" i="4"/>
  <c r="B31" i="4"/>
  <c r="B29" i="4"/>
  <c r="B28" i="4"/>
  <c r="B27" i="4"/>
  <c r="B26" i="4"/>
  <c r="B25" i="4"/>
  <c r="B24" i="4"/>
  <c r="B23" i="4"/>
  <c r="B8" i="4"/>
  <c r="B7" i="4"/>
  <c r="B6" i="4"/>
  <c r="B5" i="4"/>
  <c r="B52" i="3"/>
  <c r="C52" i="3" s="1"/>
  <c r="D52" i="3" s="1"/>
  <c r="E52" i="3" s="1"/>
  <c r="F52" i="3" s="1"/>
  <c r="G52" i="3" s="1"/>
  <c r="H52" i="3" s="1"/>
  <c r="I52" i="3" s="1"/>
  <c r="J52" i="3" s="1"/>
  <c r="K52" i="3" s="1"/>
  <c r="L52" i="3" s="1"/>
  <c r="B51" i="3"/>
  <c r="B48" i="3"/>
  <c r="C48" i="3" s="1"/>
  <c r="B46" i="3"/>
  <c r="C46" i="3" s="1"/>
  <c r="D46" i="3" s="1"/>
  <c r="E46" i="3" s="1"/>
  <c r="B43" i="3"/>
  <c r="C43" i="3" s="1"/>
  <c r="D43" i="3" s="1"/>
  <c r="E43" i="3" s="1"/>
  <c r="F43" i="3" s="1"/>
  <c r="G43" i="3" s="1"/>
  <c r="H43" i="3" s="1"/>
  <c r="I43" i="3" s="1"/>
  <c r="J43" i="3" s="1"/>
  <c r="K43" i="3" s="1"/>
  <c r="L43" i="3" s="1"/>
  <c r="B42" i="3"/>
  <c r="B41" i="3"/>
  <c r="L36" i="3"/>
  <c r="K36" i="3"/>
  <c r="J36" i="3"/>
  <c r="I36" i="3"/>
  <c r="H36" i="3"/>
  <c r="G36" i="3"/>
  <c r="F36" i="3"/>
  <c r="E36" i="3"/>
  <c r="D36" i="3"/>
  <c r="C36" i="3"/>
  <c r="B22" i="3"/>
  <c r="B21" i="3"/>
  <c r="B20" i="3"/>
  <c r="L16" i="3"/>
  <c r="K16" i="3"/>
  <c r="J16" i="3"/>
  <c r="I16" i="3"/>
  <c r="H16" i="3"/>
  <c r="G16" i="3"/>
  <c r="F16" i="3"/>
  <c r="E16" i="3"/>
  <c r="D16" i="3"/>
  <c r="C16" i="3"/>
  <c r="B6" i="3"/>
  <c r="C6" i="3" s="1"/>
  <c r="C21" i="3" s="1"/>
  <c r="B54" i="7" l="1"/>
  <c r="B39" i="8" s="1"/>
  <c r="D39" i="8" s="1"/>
  <c r="F39" i="8" s="1"/>
  <c r="C66" i="5"/>
  <c r="B51" i="7"/>
  <c r="B41" i="6"/>
  <c r="B42" i="6" s="1"/>
  <c r="B25" i="8"/>
  <c r="D25" i="8" s="1"/>
  <c r="F25" i="8" s="1"/>
  <c r="B49" i="3"/>
  <c r="C49" i="3" s="1"/>
  <c r="D49" i="3" s="1"/>
  <c r="E49" i="3" s="1"/>
  <c r="F49" i="3" s="1"/>
  <c r="G49" i="3" s="1"/>
  <c r="H49" i="3" s="1"/>
  <c r="I49" i="3" s="1"/>
  <c r="J49" i="3" s="1"/>
  <c r="K49" i="3" s="1"/>
  <c r="L49" i="3" s="1"/>
  <c r="C51" i="7"/>
  <c r="B32" i="8" s="1"/>
  <c r="D32" i="8" s="1"/>
  <c r="F32" i="8" s="1"/>
  <c r="C54" i="7"/>
  <c r="B38" i="8" s="1"/>
  <c r="D38" i="8" s="1"/>
  <c r="F38" i="8" s="1"/>
  <c r="C52" i="7"/>
  <c r="B34" i="8" s="1"/>
  <c r="D34" i="8" s="1"/>
  <c r="F34" i="8" s="1"/>
  <c r="F46" i="3"/>
  <c r="C22" i="3"/>
  <c r="C29" i="3"/>
  <c r="C20" i="3"/>
  <c r="C23" i="3" s="1"/>
  <c r="D6" i="3"/>
  <c r="C8" i="3"/>
  <c r="C24" i="3"/>
  <c r="C28" i="3"/>
  <c r="C30" i="3" s="1"/>
  <c r="C14" i="3"/>
  <c r="B53" i="3"/>
  <c r="B9" i="4"/>
  <c r="B49" i="5"/>
  <c r="D48" i="3"/>
  <c r="B44" i="5"/>
  <c r="B47" i="5" s="1"/>
  <c r="B89" i="5" s="1"/>
  <c r="B45" i="5"/>
  <c r="D61" i="5"/>
  <c r="C63" i="5"/>
  <c r="C64" i="5" s="1"/>
  <c r="C65" i="5"/>
  <c r="C67" i="5"/>
  <c r="B33" i="8"/>
  <c r="D33" i="8" s="1"/>
  <c r="F33" i="8" s="1"/>
  <c r="C7" i="3"/>
  <c r="B44" i="3"/>
  <c r="C44" i="3" s="1"/>
  <c r="D44" i="3" s="1"/>
  <c r="E44" i="3" s="1"/>
  <c r="F44" i="3" s="1"/>
  <c r="G44" i="3" s="1"/>
  <c r="H44" i="3" s="1"/>
  <c r="I44" i="3" s="1"/>
  <c r="J44" i="3" s="1"/>
  <c r="K44" i="3" s="1"/>
  <c r="L44" i="3" s="1"/>
  <c r="B52" i="5"/>
  <c r="B51" i="5"/>
  <c r="B52" i="6"/>
  <c r="B49" i="6"/>
  <c r="B50" i="6"/>
  <c r="B51" i="6" s="1"/>
  <c r="B28" i="8" s="1"/>
  <c r="D28" i="8" s="1"/>
  <c r="F28" i="8" s="1"/>
  <c r="B52" i="7"/>
  <c r="C50" i="7"/>
  <c r="B30" i="8" s="1"/>
  <c r="D30" i="8" s="1"/>
  <c r="F30" i="8" s="1"/>
  <c r="C53" i="7"/>
  <c r="B36" i="8" s="1"/>
  <c r="D36" i="8" s="1"/>
  <c r="F36" i="8" s="1"/>
  <c r="B35" i="6"/>
  <c r="B37" i="6" s="1"/>
  <c r="B36" i="6"/>
  <c r="B44" i="6" s="1"/>
  <c r="B53" i="7"/>
  <c r="B50" i="7"/>
  <c r="D51" i="7" l="1"/>
  <c r="D54" i="7"/>
  <c r="B50" i="3"/>
  <c r="C72" i="5"/>
  <c r="C73" i="5"/>
  <c r="C89" i="5"/>
  <c r="G46" i="3"/>
  <c r="E48" i="3"/>
  <c r="C57" i="3"/>
  <c r="C13" i="4" s="1"/>
  <c r="C9" i="3"/>
  <c r="B46" i="5"/>
  <c r="B88" i="5" s="1"/>
  <c r="A51" i="4"/>
  <c r="A49" i="4"/>
  <c r="A47" i="4"/>
  <c r="C15" i="4"/>
  <c r="E15" i="4"/>
  <c r="B12" i="8"/>
  <c r="D12" i="8" s="1"/>
  <c r="F12" i="8" s="1"/>
  <c r="A50" i="4"/>
  <c r="L15" i="4"/>
  <c r="K15" i="4"/>
  <c r="J15" i="4"/>
  <c r="A48" i="4"/>
  <c r="G15" i="4"/>
  <c r="I15" i="4"/>
  <c r="H15" i="4"/>
  <c r="F15" i="4"/>
  <c r="D15" i="4"/>
  <c r="B45" i="3"/>
  <c r="B54" i="3" s="1"/>
  <c r="B35" i="8"/>
  <c r="D35" i="8" s="1"/>
  <c r="F35" i="8" s="1"/>
  <c r="D52" i="7"/>
  <c r="D63" i="5"/>
  <c r="D65" i="5"/>
  <c r="D67" i="5"/>
  <c r="E61" i="5"/>
  <c r="D66" i="5"/>
  <c r="D62" i="5"/>
  <c r="B31" i="8"/>
  <c r="D31" i="8" s="1"/>
  <c r="F31" i="8" s="1"/>
  <c r="D50" i="7"/>
  <c r="B87" i="5"/>
  <c r="D14" i="3"/>
  <c r="D8" i="3"/>
  <c r="D21" i="3"/>
  <c r="D22" i="3"/>
  <c r="D28" i="3"/>
  <c r="D30" i="3" s="1"/>
  <c r="D20" i="3"/>
  <c r="D23" i="3" s="1"/>
  <c r="E6" i="3"/>
  <c r="D7" i="3"/>
  <c r="D24" i="3"/>
  <c r="D29" i="3"/>
  <c r="B37" i="8"/>
  <c r="D37" i="8" s="1"/>
  <c r="F37" i="8" s="1"/>
  <c r="D53" i="7"/>
  <c r="B26" i="8"/>
  <c r="D26" i="8" s="1"/>
  <c r="F26" i="8" s="1"/>
  <c r="B45" i="6"/>
  <c r="B38" i="6"/>
  <c r="B39" i="6" s="1"/>
  <c r="B27" i="8" s="1"/>
  <c r="D27" i="8" s="1"/>
  <c r="F27" i="8" s="1"/>
  <c r="C42" i="3"/>
  <c r="D42" i="3" l="1"/>
  <c r="B48" i="5"/>
  <c r="B50" i="5" s="1"/>
  <c r="B54" i="5" s="1"/>
  <c r="B55" i="5" s="1"/>
  <c r="B20" i="8" s="1"/>
  <c r="D20" i="8" s="1"/>
  <c r="F20" i="8" s="1"/>
  <c r="D73" i="5"/>
  <c r="D72" i="5"/>
  <c r="D89" i="5"/>
  <c r="B90" i="5"/>
  <c r="B91" i="5" s="1"/>
  <c r="D64" i="5"/>
  <c r="C88" i="5"/>
  <c r="C71" i="5"/>
  <c r="F48" i="3"/>
  <c r="F61" i="5"/>
  <c r="E66" i="5"/>
  <c r="E65" i="5"/>
  <c r="E67" i="5"/>
  <c r="E63" i="5"/>
  <c r="E62" i="5"/>
  <c r="B59" i="6"/>
  <c r="B60" i="6" s="1"/>
  <c r="F59" i="6"/>
  <c r="F60" i="6" s="1"/>
  <c r="E59" i="6"/>
  <c r="E60" i="6" s="1"/>
  <c r="C59" i="6"/>
  <c r="C60" i="6" s="1"/>
  <c r="D59" i="6"/>
  <c r="D60" i="6" s="1"/>
  <c r="B29" i="8" s="1"/>
  <c r="D29" i="8" s="1"/>
  <c r="F29" i="8" s="1"/>
  <c r="H46" i="3"/>
  <c r="C16" i="4"/>
  <c r="D57" i="3"/>
  <c r="D13" i="4" s="1"/>
  <c r="D16" i="4" s="1"/>
  <c r="D9" i="3"/>
  <c r="E24" i="3"/>
  <c r="E22" i="3"/>
  <c r="E14" i="3"/>
  <c r="E20" i="3"/>
  <c r="F6" i="3"/>
  <c r="E8" i="3"/>
  <c r="E7" i="3"/>
  <c r="E28" i="3"/>
  <c r="E30" i="3" s="1"/>
  <c r="E21" i="3"/>
  <c r="E29" i="3"/>
  <c r="C68" i="5"/>
  <c r="I46" i="3" l="1"/>
  <c r="E9" i="3"/>
  <c r="F14" i="3"/>
  <c r="F8" i="3"/>
  <c r="F7" i="3"/>
  <c r="G6" i="3"/>
  <c r="F21" i="3"/>
  <c r="F28" i="3"/>
  <c r="F30" i="3" s="1"/>
  <c r="F22" i="3"/>
  <c r="F20" i="3"/>
  <c r="F23" i="3" s="1"/>
  <c r="F29" i="3"/>
  <c r="F24" i="3"/>
  <c r="G48" i="3"/>
  <c r="E72" i="5"/>
  <c r="E73" i="5"/>
  <c r="E89" i="5"/>
  <c r="D88" i="5"/>
  <c r="D71" i="5"/>
  <c r="E64" i="5"/>
  <c r="F63" i="5"/>
  <c r="F65" i="5"/>
  <c r="F67" i="5"/>
  <c r="F62" i="5"/>
  <c r="F66" i="5"/>
  <c r="G61" i="5"/>
  <c r="E23" i="3"/>
  <c r="E57" i="3" s="1"/>
  <c r="E13" i="4" s="1"/>
  <c r="E16" i="4" s="1"/>
  <c r="E42" i="3"/>
  <c r="G66" i="5" l="1"/>
  <c r="H61" i="5"/>
  <c r="G67" i="5"/>
  <c r="G62" i="5"/>
  <c r="G63" i="5"/>
  <c r="G65" i="5"/>
  <c r="H48" i="3"/>
  <c r="F9" i="3"/>
  <c r="F57" i="3"/>
  <c r="F13" i="4" s="1"/>
  <c r="F16" i="4" s="1"/>
  <c r="F64" i="5"/>
  <c r="F42" i="3"/>
  <c r="J46" i="3"/>
  <c r="F73" i="5"/>
  <c r="F89" i="5" s="1"/>
  <c r="F72" i="5"/>
  <c r="E88" i="5"/>
  <c r="E71" i="5"/>
  <c r="G24" i="3"/>
  <c r="G14" i="3"/>
  <c r="H6" i="3"/>
  <c r="G8" i="3"/>
  <c r="G21" i="3"/>
  <c r="G29" i="3"/>
  <c r="G28" i="3"/>
  <c r="G30" i="3" s="1"/>
  <c r="G20" i="3"/>
  <c r="G22" i="3"/>
  <c r="G7" i="3"/>
  <c r="G23" i="3" l="1"/>
  <c r="H62" i="5"/>
  <c r="H67" i="5"/>
  <c r="H66" i="5"/>
  <c r="H63" i="5"/>
  <c r="I61" i="5"/>
  <c r="H65" i="5"/>
  <c r="I48" i="3"/>
  <c r="G42" i="3"/>
  <c r="G64" i="5"/>
  <c r="B96" i="5"/>
  <c r="F88" i="5"/>
  <c r="F71" i="5"/>
  <c r="G73" i="5"/>
  <c r="G89" i="5" s="1"/>
  <c r="G72" i="5"/>
  <c r="K46" i="3"/>
  <c r="H14" i="3"/>
  <c r="H8" i="3"/>
  <c r="I6" i="3"/>
  <c r="H20" i="3"/>
  <c r="H28" i="3"/>
  <c r="H30" i="3" s="1"/>
  <c r="H21" i="3"/>
  <c r="H29" i="3"/>
  <c r="H7" i="3"/>
  <c r="H22" i="3"/>
  <c r="H24" i="3"/>
  <c r="G9" i="3"/>
  <c r="G57" i="3"/>
  <c r="G13" i="4" s="1"/>
  <c r="G16" i="4" s="1"/>
  <c r="H73" i="5" l="1"/>
  <c r="H89" i="5" s="1"/>
  <c r="H72" i="5"/>
  <c r="L46" i="3"/>
  <c r="J48" i="3"/>
  <c r="G88" i="5"/>
  <c r="G71" i="5"/>
  <c r="H64" i="5"/>
  <c r="H9" i="3"/>
  <c r="H57" i="3"/>
  <c r="H13" i="4" s="1"/>
  <c r="H16" i="4" s="1"/>
  <c r="I62" i="5"/>
  <c r="I66" i="5"/>
  <c r="I67" i="5"/>
  <c r="I63" i="5"/>
  <c r="I65" i="5"/>
  <c r="B98" i="5"/>
  <c r="I28" i="3"/>
  <c r="I30" i="3" s="1"/>
  <c r="I24" i="3"/>
  <c r="I14" i="3"/>
  <c r="J6" i="3"/>
  <c r="I20" i="3"/>
  <c r="I8" i="3"/>
  <c r="I21" i="3"/>
  <c r="I29" i="3"/>
  <c r="I7" i="3"/>
  <c r="I22" i="3"/>
  <c r="H23" i="3"/>
  <c r="H42" i="3"/>
  <c r="I73" i="5" l="1"/>
  <c r="I89" i="5" s="1"/>
  <c r="I72" i="5"/>
  <c r="I9" i="3"/>
  <c r="K48" i="3"/>
  <c r="I64" i="5"/>
  <c r="I23" i="3"/>
  <c r="I57" i="3" s="1"/>
  <c r="I13" i="4" s="1"/>
  <c r="I16" i="4" s="1"/>
  <c r="H71" i="5"/>
  <c r="H88" i="5"/>
  <c r="J20" i="3"/>
  <c r="J28" i="3"/>
  <c r="J30" i="3" s="1"/>
  <c r="J21" i="3"/>
  <c r="J29" i="3"/>
  <c r="J14" i="3"/>
  <c r="J7" i="3"/>
  <c r="J22" i="3"/>
  <c r="J8" i="3"/>
  <c r="J24" i="3"/>
  <c r="K6" i="3"/>
  <c r="I42" i="3"/>
  <c r="J23" i="3" l="1"/>
  <c r="J57" i="3" s="1"/>
  <c r="J13" i="4" s="1"/>
  <c r="J16" i="4" s="1"/>
  <c r="L48" i="3"/>
  <c r="J42" i="3"/>
  <c r="I88" i="5"/>
  <c r="I71" i="5"/>
  <c r="K28" i="3"/>
  <c r="K30" i="3" s="1"/>
  <c r="K29" i="3"/>
  <c r="K20" i="3"/>
  <c r="K21" i="3"/>
  <c r="K7" i="3"/>
  <c r="K14" i="3"/>
  <c r="L6" i="3"/>
  <c r="K24" i="3"/>
  <c r="K22" i="3"/>
  <c r="K8" i="3"/>
  <c r="J9" i="3"/>
  <c r="K9" i="3" l="1"/>
  <c r="K23" i="3"/>
  <c r="K57" i="3" s="1"/>
  <c r="K13" i="4" s="1"/>
  <c r="K16" i="4" s="1"/>
  <c r="K42" i="3"/>
  <c r="L21" i="3"/>
  <c r="L28" i="3"/>
  <c r="L30" i="3" s="1"/>
  <c r="L7" i="3"/>
  <c r="L14" i="3"/>
  <c r="L29" i="3"/>
  <c r="L22" i="3"/>
  <c r="B7" i="8"/>
  <c r="D7" i="8" s="1"/>
  <c r="F7" i="8" s="1"/>
  <c r="L8" i="3"/>
  <c r="L24" i="3"/>
  <c r="L20" i="3"/>
  <c r="L9" i="3" l="1"/>
  <c r="L42" i="3"/>
  <c r="L23" i="3"/>
  <c r="L57" i="3" s="1"/>
  <c r="B11" i="8" l="1"/>
  <c r="D11" i="8" s="1"/>
  <c r="F11" i="8" s="1"/>
  <c r="L13" i="4"/>
  <c r="B40" i="4"/>
  <c r="B41" i="4" s="1"/>
  <c r="B20" i="4" l="1"/>
  <c r="L16" i="4"/>
  <c r="B19" i="4" s="1"/>
  <c r="C49" i="4"/>
  <c r="B50" i="4"/>
  <c r="E49" i="4"/>
  <c r="D47" i="4"/>
  <c r="B51" i="4"/>
  <c r="C48" i="4"/>
  <c r="E47" i="4"/>
  <c r="D49" i="4"/>
  <c r="B17" i="8" s="1"/>
  <c r="D17" i="8" s="1"/>
  <c r="F17" i="8" s="1"/>
  <c r="D50" i="4"/>
  <c r="C51" i="4"/>
  <c r="C47" i="4"/>
  <c r="C50" i="4"/>
  <c r="E51" i="4"/>
  <c r="F49" i="4"/>
  <c r="F48" i="4"/>
  <c r="D51" i="4"/>
  <c r="F47" i="4"/>
  <c r="D48" i="4"/>
  <c r="F51" i="4"/>
  <c r="E50" i="4"/>
  <c r="F50" i="4"/>
  <c r="B49" i="4"/>
  <c r="E48" i="4"/>
  <c r="B48" i="4"/>
  <c r="B47" i="4"/>
  <c r="B42" i="4" l="1"/>
  <c r="B43" i="4" s="1"/>
  <c r="B16" i="8" s="1"/>
  <c r="D16" i="8" s="1"/>
  <c r="F16" i="8" s="1"/>
  <c r="B21" i="4"/>
  <c r="B22" i="4" s="1"/>
  <c r="B37" i="4"/>
  <c r="B36" i="4" l="1"/>
  <c r="B30" i="4"/>
  <c r="B13" i="8"/>
  <c r="D13" i="8" s="1"/>
  <c r="F13" i="8" s="1"/>
  <c r="B14" i="8" l="1"/>
  <c r="D14" i="8" s="1"/>
  <c r="F14" i="8" s="1"/>
  <c r="B33" i="4"/>
  <c r="B34" i="4" s="1"/>
  <c r="B35" i="4" l="1"/>
  <c r="B15" i="8"/>
  <c r="D15" i="8" s="1"/>
  <c r="F15" i="8" s="1"/>
  <c r="B6" i="8"/>
  <c r="D6" i="8"/>
  <c r="F6" i="8"/>
  <c r="B8" i="8"/>
  <c r="D8" i="8"/>
  <c r="F8" i="8"/>
  <c r="B9" i="8"/>
  <c r="D9" i="8"/>
  <c r="F9" i="8"/>
  <c r="B10" i="8"/>
  <c r="D10" i="8"/>
  <c r="F10" i="8"/>
  <c r="B18" i="8"/>
  <c r="D18" i="8"/>
  <c r="F18" i="8"/>
  <c r="B19" i="8"/>
  <c r="D19" i="8"/>
  <c r="F19" i="8"/>
  <c r="B21" i="8"/>
  <c r="D21" i="8"/>
  <c r="F21" i="8"/>
  <c r="B22" i="8"/>
  <c r="D22" i="8"/>
  <c r="F22" i="8"/>
  <c r="B23" i="8"/>
  <c r="D23" i="8"/>
  <c r="F23" i="8"/>
  <c r="B24" i="8"/>
  <c r="D24" i="8"/>
  <c r="F24" i="8"/>
  <c r="F42" i="8"/>
  <c r="B8" i="1"/>
  <c r="C10" i="3"/>
  <c r="D10" i="3"/>
  <c r="E10" i="3"/>
  <c r="F10" i="3"/>
  <c r="G10" i="3"/>
  <c r="H10" i="3"/>
  <c r="I10" i="3"/>
  <c r="J10" i="3"/>
  <c r="K10" i="3"/>
  <c r="L10" i="3"/>
  <c r="C11" i="3"/>
  <c r="D11" i="3"/>
  <c r="E11" i="3"/>
  <c r="F11" i="3"/>
  <c r="G11" i="3"/>
  <c r="H11" i="3"/>
  <c r="I11" i="3"/>
  <c r="J11" i="3"/>
  <c r="K11" i="3"/>
  <c r="L11" i="3"/>
  <c r="C12" i="3"/>
  <c r="D12" i="3"/>
  <c r="E12" i="3"/>
  <c r="F12" i="3"/>
  <c r="G12" i="3"/>
  <c r="H12" i="3"/>
  <c r="I12" i="3"/>
  <c r="J12" i="3"/>
  <c r="K12" i="3"/>
  <c r="L12" i="3"/>
  <c r="C13" i="3"/>
  <c r="D13" i="3"/>
  <c r="E13" i="3"/>
  <c r="F13" i="3"/>
  <c r="G13" i="3"/>
  <c r="H13" i="3"/>
  <c r="I13" i="3"/>
  <c r="J13" i="3"/>
  <c r="K13" i="3"/>
  <c r="L13" i="3"/>
  <c r="C15" i="3"/>
  <c r="D15" i="3"/>
  <c r="E15" i="3"/>
  <c r="F15" i="3"/>
  <c r="G15" i="3"/>
  <c r="H15" i="3"/>
  <c r="I15" i="3"/>
  <c r="J15" i="3"/>
  <c r="K15" i="3"/>
  <c r="L15" i="3"/>
  <c r="C17" i="3"/>
  <c r="D17" i="3"/>
  <c r="E17" i="3"/>
  <c r="F17" i="3"/>
  <c r="G17" i="3"/>
  <c r="H17" i="3"/>
  <c r="I17" i="3"/>
  <c r="J17" i="3"/>
  <c r="K17" i="3"/>
  <c r="L17" i="3"/>
  <c r="C27" i="3"/>
  <c r="D27" i="3"/>
  <c r="E27" i="3"/>
  <c r="F27" i="3"/>
  <c r="G27" i="3"/>
  <c r="H27" i="3"/>
  <c r="I27" i="3"/>
  <c r="J27" i="3"/>
  <c r="K27" i="3"/>
  <c r="L27" i="3"/>
  <c r="C31" i="3"/>
  <c r="D31" i="3"/>
  <c r="E31" i="3"/>
  <c r="F31" i="3"/>
  <c r="G31" i="3"/>
  <c r="H31" i="3"/>
  <c r="I31" i="3"/>
  <c r="J31" i="3"/>
  <c r="K31" i="3"/>
  <c r="L31" i="3"/>
  <c r="C32" i="3"/>
  <c r="D32" i="3"/>
  <c r="E32" i="3"/>
  <c r="F32" i="3"/>
  <c r="G32" i="3"/>
  <c r="H32" i="3"/>
  <c r="I32" i="3"/>
  <c r="J32" i="3"/>
  <c r="K32" i="3"/>
  <c r="L32" i="3"/>
  <c r="C33" i="3"/>
  <c r="D33" i="3"/>
  <c r="E33" i="3"/>
  <c r="F33" i="3"/>
  <c r="G33" i="3"/>
  <c r="H33" i="3"/>
  <c r="I33" i="3"/>
  <c r="J33" i="3"/>
  <c r="K33" i="3"/>
  <c r="L33" i="3"/>
  <c r="C34" i="3"/>
  <c r="D34" i="3"/>
  <c r="E34" i="3"/>
  <c r="F34" i="3"/>
  <c r="G34" i="3"/>
  <c r="H34" i="3"/>
  <c r="I34" i="3"/>
  <c r="J34" i="3"/>
  <c r="K34" i="3"/>
  <c r="L34" i="3"/>
  <c r="C35" i="3"/>
  <c r="D35" i="3"/>
  <c r="E35" i="3"/>
  <c r="F35" i="3"/>
  <c r="G35" i="3"/>
  <c r="H35" i="3"/>
  <c r="I35" i="3"/>
  <c r="J35" i="3"/>
  <c r="K35" i="3"/>
  <c r="L35" i="3"/>
  <c r="C37" i="3"/>
  <c r="D37" i="3"/>
  <c r="E37" i="3"/>
  <c r="F37" i="3"/>
  <c r="G37" i="3"/>
  <c r="H37" i="3"/>
  <c r="I37" i="3"/>
  <c r="J37" i="3"/>
  <c r="K37" i="3"/>
  <c r="L37" i="3"/>
  <c r="C38" i="3"/>
  <c r="D38" i="3"/>
  <c r="E38" i="3"/>
  <c r="F38" i="3"/>
  <c r="G38" i="3"/>
  <c r="H38" i="3"/>
  <c r="I38" i="3"/>
  <c r="J38" i="3"/>
  <c r="K38" i="3"/>
  <c r="L38" i="3"/>
  <c r="C41" i="3"/>
  <c r="D41" i="3"/>
  <c r="E41" i="3"/>
  <c r="F41" i="3"/>
  <c r="G41" i="3"/>
  <c r="H41" i="3"/>
  <c r="I41" i="3"/>
  <c r="J41" i="3"/>
  <c r="K41" i="3"/>
  <c r="L41" i="3"/>
  <c r="C45" i="3"/>
  <c r="D45" i="3"/>
  <c r="E45" i="3"/>
  <c r="F45" i="3"/>
  <c r="G45" i="3"/>
  <c r="H45" i="3"/>
  <c r="I45" i="3"/>
  <c r="J45" i="3"/>
  <c r="K45" i="3"/>
  <c r="L45" i="3"/>
  <c r="C47" i="3"/>
  <c r="D47" i="3"/>
  <c r="E47" i="3"/>
  <c r="F47" i="3"/>
  <c r="G47" i="3"/>
  <c r="H47" i="3"/>
  <c r="I47" i="3"/>
  <c r="J47" i="3"/>
  <c r="K47" i="3"/>
  <c r="L47" i="3"/>
  <c r="C50" i="3"/>
  <c r="D50" i="3"/>
  <c r="E50" i="3"/>
  <c r="F50" i="3"/>
  <c r="G50" i="3"/>
  <c r="H50" i="3"/>
  <c r="I50" i="3"/>
  <c r="J50" i="3"/>
  <c r="K50" i="3"/>
  <c r="L50" i="3"/>
  <c r="C51" i="3"/>
  <c r="D51" i="3"/>
  <c r="E51" i="3"/>
  <c r="F51" i="3"/>
  <c r="G51" i="3"/>
  <c r="H51" i="3"/>
  <c r="I51" i="3"/>
  <c r="J51" i="3"/>
  <c r="K51" i="3"/>
  <c r="L51" i="3"/>
  <c r="C53" i="3"/>
  <c r="D53" i="3"/>
  <c r="E53" i="3"/>
  <c r="F53" i="3"/>
  <c r="G53" i="3"/>
  <c r="H53" i="3"/>
  <c r="I53" i="3"/>
  <c r="J53" i="3"/>
  <c r="K53" i="3"/>
  <c r="L53" i="3"/>
  <c r="C54" i="3"/>
  <c r="D54" i="3"/>
  <c r="E54" i="3"/>
  <c r="F54" i="3"/>
  <c r="G54" i="3"/>
  <c r="H54" i="3"/>
  <c r="I54" i="3"/>
  <c r="J54" i="3"/>
  <c r="K54" i="3"/>
  <c r="L54" i="3"/>
  <c r="C58" i="3"/>
  <c r="D58" i="3"/>
  <c r="E58" i="3"/>
  <c r="F58" i="3"/>
  <c r="G58" i="3"/>
  <c r="H58" i="3"/>
  <c r="I58" i="3"/>
  <c r="J58" i="3"/>
  <c r="K58" i="3"/>
  <c r="L58" i="3"/>
  <c r="C59" i="3"/>
  <c r="D59" i="3"/>
  <c r="E59" i="3"/>
  <c r="F59" i="3"/>
  <c r="G59" i="3"/>
  <c r="H59" i="3"/>
  <c r="I59" i="3"/>
  <c r="J59" i="3"/>
  <c r="K59" i="3"/>
  <c r="L59" i="3"/>
  <c r="D68" i="5"/>
  <c r="E68" i="5"/>
  <c r="F68" i="5"/>
  <c r="G68" i="5"/>
  <c r="H68" i="5"/>
  <c r="I68" i="5"/>
  <c r="C69" i="5"/>
  <c r="D69" i="5"/>
  <c r="E69" i="5"/>
  <c r="F69" i="5"/>
  <c r="G69" i="5"/>
  <c r="H69" i="5"/>
  <c r="I69" i="5"/>
  <c r="C70" i="5"/>
  <c r="D70" i="5"/>
  <c r="E70" i="5"/>
  <c r="F70" i="5"/>
  <c r="G70" i="5"/>
  <c r="H70" i="5"/>
  <c r="I70" i="5"/>
  <c r="C74" i="5"/>
  <c r="D74" i="5"/>
  <c r="E74" i="5"/>
  <c r="F74" i="5"/>
  <c r="G74" i="5"/>
  <c r="H74" i="5"/>
  <c r="I74" i="5"/>
  <c r="C75" i="5"/>
  <c r="D75" i="5"/>
  <c r="E75" i="5"/>
  <c r="F75" i="5"/>
  <c r="G75" i="5"/>
  <c r="H75" i="5"/>
  <c r="I75" i="5"/>
  <c r="C76" i="5"/>
  <c r="D76" i="5"/>
  <c r="E76" i="5"/>
  <c r="F76" i="5"/>
  <c r="G76" i="5"/>
  <c r="H76" i="5"/>
  <c r="I76" i="5"/>
  <c r="C77" i="5"/>
  <c r="D77" i="5"/>
  <c r="E77" i="5"/>
  <c r="F77" i="5"/>
  <c r="G77" i="5"/>
  <c r="H77" i="5"/>
  <c r="I77" i="5"/>
  <c r="C78" i="5"/>
  <c r="D78" i="5"/>
  <c r="E78" i="5"/>
  <c r="F78" i="5"/>
  <c r="G78" i="5"/>
  <c r="H78" i="5"/>
  <c r="I78" i="5"/>
  <c r="C79" i="5"/>
  <c r="D79" i="5"/>
  <c r="E79" i="5"/>
  <c r="F79" i="5"/>
  <c r="G79" i="5"/>
  <c r="H79" i="5"/>
  <c r="I79" i="5"/>
  <c r="C80" i="5"/>
  <c r="D80" i="5"/>
  <c r="E80" i="5"/>
  <c r="F80" i="5"/>
  <c r="G80" i="5"/>
  <c r="H80" i="5"/>
  <c r="I80" i="5"/>
  <c r="C81" i="5"/>
  <c r="D81" i="5"/>
  <c r="E81" i="5"/>
  <c r="F81" i="5"/>
  <c r="G81" i="5"/>
  <c r="H81" i="5"/>
  <c r="I81" i="5"/>
  <c r="C82" i="5"/>
  <c r="D82" i="5"/>
  <c r="E82" i="5"/>
  <c r="F82" i="5"/>
  <c r="G82" i="5"/>
  <c r="H82" i="5"/>
  <c r="I82" i="5"/>
  <c r="C83" i="5"/>
  <c r="D83" i="5"/>
  <c r="E83" i="5"/>
  <c r="F83" i="5"/>
  <c r="G83" i="5"/>
  <c r="H83" i="5"/>
  <c r="I83" i="5"/>
  <c r="C84" i="5"/>
  <c r="D84" i="5"/>
  <c r="E84" i="5"/>
  <c r="F84" i="5"/>
  <c r="G84" i="5"/>
  <c r="H84" i="5"/>
  <c r="I84" i="5"/>
  <c r="C85" i="5"/>
  <c r="D85" i="5"/>
  <c r="E85" i="5"/>
  <c r="F85" i="5"/>
  <c r="G85" i="5"/>
  <c r="H85" i="5"/>
  <c r="I85" i="5"/>
  <c r="C86" i="5"/>
  <c r="D86" i="5"/>
  <c r="E86" i="5"/>
  <c r="F86" i="5"/>
  <c r="G86" i="5"/>
  <c r="H86" i="5"/>
  <c r="I86" i="5"/>
  <c r="C87" i="5"/>
  <c r="D87" i="5"/>
  <c r="E87" i="5"/>
  <c r="F87" i="5"/>
  <c r="G87" i="5"/>
  <c r="H87" i="5"/>
  <c r="I87" i="5"/>
  <c r="C90" i="5"/>
  <c r="D90" i="5"/>
  <c r="E90" i="5"/>
  <c r="F90" i="5"/>
  <c r="G90" i="5"/>
  <c r="H90" i="5"/>
  <c r="I90" i="5"/>
  <c r="C91" i="5"/>
  <c r="D91" i="5"/>
  <c r="E91" i="5"/>
  <c r="F91" i="5"/>
  <c r="G91" i="5"/>
  <c r="H91" i="5"/>
  <c r="I91" i="5"/>
  <c r="C92" i="5"/>
  <c r="D92" i="5"/>
  <c r="E92" i="5"/>
  <c r="F92" i="5"/>
  <c r="G92" i="5"/>
  <c r="H92" i="5"/>
  <c r="I92" i="5"/>
  <c r="C93" i="5"/>
  <c r="D93" i="5"/>
  <c r="E93" i="5"/>
  <c r="F93" i="5"/>
  <c r="G93" i="5"/>
  <c r="H93" i="5"/>
  <c r="I93" i="5"/>
  <c r="B97" i="5"/>
  <c r="B99" i="5"/>
  <c r="B100" i="5"/>
  <c r="B101" i="5"/>
  <c r="B102" i="5"/>
  <c r="B10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</author>
  </authors>
  <commentList>
    <comment ref="A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Placeholder macro view: -1%, +1%, +2%... fading to terminal growth.</t>
        </r>
      </text>
    </comment>
    <comment ref="A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2023-25 average margin excluding impairments, less a 1% recurring impairment allowance.</t>
        </r>
      </text>
    </comment>
    <comment ref="A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FY2025 ratio.</t>
        </r>
      </text>
    </comment>
    <comment ref="A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FY2025 ratio.</t>
        </r>
      </text>
    </comment>
    <comment ref="A9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FY2025 ratio; keeps the lease liability flat.</t>
        </r>
      </text>
    </comment>
    <comment ref="A10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2023-25 effective rate ex impairments, fading 2.5pp over 10 years.</t>
        </r>
      </text>
    </comment>
    <comment ref="A1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2023-25 average; assumed fully distributed in cash.</t>
        </r>
      </text>
    </comment>
    <comment ref="A1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FY2025 dividends growing 4% a year to 2030, 2.5% after.</t>
        </r>
      </text>
    </comment>
    <comment ref="A1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FY2025 level.</t>
        </r>
      </text>
    </comment>
    <comment ref="A1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None assumed.</t>
        </r>
      </text>
    </comment>
    <comment ref="A27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Yahoo Finance ^TNX; spot and 1y average blended.</t>
        </r>
      </text>
    </comment>
    <comment ref="A28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Assumption.</t>
        </r>
      </text>
    </comment>
    <comment ref="A29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Computed from Yahoo Finance prices.</t>
        </r>
      </text>
    </comment>
    <comment ref="A30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Assumption.</t>
        </r>
      </text>
    </comment>
    <comment ref="A3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Assumption (marginal rate).</t>
        </r>
      </text>
    </comment>
    <comment ref="A3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Assumption.</t>
        </r>
      </text>
    </comment>
    <comment ref="A3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Assumption.</t>
        </r>
      </text>
    </comment>
    <comment ref="A3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Yahoo Finance; matches the 20-F cover (5,690m at 31 Dec 2025).</t>
        </r>
      </text>
    </comment>
    <comment ref="A35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London close 2026-10-12, Yahoo Finance.</t>
        </r>
      </text>
    </comment>
    <comment ref="A36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Yahoo Finance.</t>
        </r>
      </text>
    </comment>
    <comment ref="A37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Value struck at 31 Dec 2025, rolled forward to this date.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</author>
  </authors>
  <commentList>
    <comment ref="B4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Plug: lines the forecast does not drive (JV stakes, derivatives, deferred tax...). Held flat.</t>
        </r>
      </text>
    </comment>
    <comment ref="B4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Plug: provisions, deferred tax, derivatives... Held flat.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</author>
  </authors>
  <commentList>
    <comment ref="B56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Python engine output (model/ma.py), same buyback policy as the pro forma.</t>
        </r>
      </text>
    </comment>
    <comment ref="C56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Python engine output (model/ma.py), same buyback policy as the pro forma.</t>
        </r>
      </text>
    </comment>
    <comment ref="D56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Python engine output (model/ma.py), same buyback policy as the pro forma.</t>
        </r>
      </text>
    </comment>
    <comment ref="E56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Python engine output (model/ma.py), same buyback policy as the pro forma.</t>
        </r>
      </text>
    </comment>
    <comment ref="F56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Python engine output (model/ma.py), same buyback policy as the pro forma.</t>
        </r>
      </text>
    </comment>
    <comment ref="B57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Python engine output: full pro forma forecast incl. synergies, integration costs, PPA and acquisition debt.</t>
        </r>
      </text>
    </comment>
    <comment ref="C57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Python engine output: full pro forma forecast incl. synergies, integration costs, PPA and acquisition debt.</t>
        </r>
      </text>
    </comment>
    <comment ref="D57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Python engine output: full pro forma forecast incl. synergies, integration costs, PPA and acquisition debt.</t>
        </r>
      </text>
    </comment>
    <comment ref="E5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Python engine output: full pro forma forecast incl. synergies, integration costs, PPA and acquisition debt.</t>
        </r>
      </text>
    </comment>
    <comment ref="F57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Python engine output: full pro forma forecast incl. synergies, integration costs, PPA and acquisition debt.</t>
        </r>
      </text>
    </comment>
  </commentList>
</comments>
</file>

<file path=xl/sharedStrings.xml><?xml version="1.0" encoding="utf-8"?>
<sst xmlns="http://schemas.openxmlformats.org/spreadsheetml/2006/main" count="547" uniqueCount="427">
  <si>
    <t>Corporate valuation suite · Shell plc and BP p.l.c.</t>
  </si>
  <si>
    <t>Built 12 Oct 2026 by export_excel.py from the Python engine. Base case. Not investment advice.</t>
  </si>
  <si>
    <t>Model check status</t>
  </si>
  <si>
    <t>Contents</t>
  </si>
  <si>
    <t>Inputs</t>
  </si>
  <si>
    <t>Forecast and valuation assumptions for Shell (edit the blue cells)</t>
  </si>
  <si>
    <t>Forecast</t>
  </si>
  <si>
    <t>Integrated income statement, cash flow and balance sheet, 2026–2035</t>
  </si>
  <si>
    <t>DCF</t>
  </si>
  <si>
    <t>WACC, unlevered free cash flow, terminal value, equity bridge, sensitivity grid</t>
  </si>
  <si>
    <t>LBO</t>
  </si>
  <si>
    <t>Carve-out buyout of Shell's Marketing division: sources and uses, debt schedule, returns</t>
  </si>
  <si>
    <t>Merger</t>
  </si>
  <si>
    <t>Shell acquires BP: consideration, funding, purchase price allocation, EPS accretion</t>
  </si>
  <si>
    <t>Portfolio</t>
  </si>
  <si>
    <t>13-asset sterling portfolio: expected returns, covariance, portfolio statistics</t>
  </si>
  <si>
    <t>Checks</t>
  </si>
  <si>
    <t>Every key result reconciled to the Python engine</t>
  </si>
  <si>
    <t>History</t>
  </si>
  <si>
    <t>Shell FY2021–FY2025 reported figures from the 20-F</t>
  </si>
  <si>
    <t>Colour code</t>
  </si>
  <si>
    <t>Blue text: hard-coded input</t>
  </si>
  <si>
    <t>Black text: formula</t>
  </si>
  <si>
    <t>Green text: link to another sheet</t>
  </si>
  <si>
    <t>Yellow fill: key assumption</t>
  </si>
  <si>
    <t>Calculation</t>
  </si>
  <si>
    <t>Interest on average balances makes the Forecast and LBO sheets circular. Iterative calculation is saved with the workbook; if Excel warns about circular references, enable File › Options › Formulas › Enable iterative calculation.</t>
  </si>
  <si>
    <t>Shell plc · forecast and valuation inputs</t>
  </si>
  <si>
    <t>Base case. Blue cells are inputs; change them and every sheet recalculates. Defaults are calibrated from Shell's own history by the Python engine (model/three_statement.py).</t>
  </si>
  <si>
    <t>Annual drivers</t>
  </si>
  <si>
    <t>Unit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</si>
  <si>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</si>
  <si>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</si>
  <si>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</si>
  <si>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</si>
  <si>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</si>
  <si>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</si>
  <si>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</si>
  <si>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</si>
  <si>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</si>
  <si>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</si>
  <si>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Revenue growth</t>
  </si>
  <si>
    <t>%</t>
  </si>
  <si>
    <t>Operating EBIT margin</t>
  </si>
  <si>
    <t>D&amp;A excl. impairments</t>
  </si>
  <si>
    <t>% rev</t>
  </si>
  <si>
    <t>Capital expenditure</t>
  </si>
  <si>
    <t>New leases = lease principal repaid</t>
  </si>
  <si>
    <t>Tax rate on pre-tax profit ex JV</t>
  </si>
  <si>
    <t>Share of JV profit</t>
  </si>
  <si>
    <t>Dividends</t>
  </si>
  <si>
    <t>USD m</t>
  </si>
  <si>
    <t>Buyback target (flexes to protect cash floor)</t>
  </si>
  <si>
    <t>Net new borrowing</t>
  </si>
  <si>
    <t>Balance-sheet and financing drivers</t>
  </si>
  <si>
    <t>Receivables</t>
  </si>
  <si>
    <t>Inventories</t>
  </si>
  <si>
    <t>Payables</t>
  </si>
  <si>
    <t>Interest rate on borrowings + leases</t>
  </si>
  <si>
    <t>Interest rate on cash</t>
  </si>
  <si>
    <t>Minority (NCI) income, fixed</t>
  </si>
  <si>
    <t>Minimum cash</t>
  </si>
  <si>
    <t>Circularity switch: 1 = interest on average balances, 0 = opening balances</t>
  </si>
  <si>
    <t>1/0</t>
  </si>
  <si>
    <t>Valuation inputs</t>
  </si>
  <si>
    <t>Risk-free rate (US 10y, blend of spot and 1-year average)</t>
  </si>
  <si>
    <t>Equity risk premium</t>
  </si>
  <si>
    <t>Beta (5y weekly vs FTSE 100, Blume-adjusted)</t>
  </si>
  <si>
    <t>x</t>
  </si>
  <si>
    <t>Credit spread over risk-free</t>
  </si>
  <si>
    <t>Tax rate on interest / provisions</t>
  </si>
  <si>
    <t>Terminal growth</t>
  </si>
  <si>
    <t>Exit EV/EBITDA (cross-check)</t>
  </si>
  <si>
    <t>Shares outstanding</t>
  </si>
  <si>
    <t>m</t>
  </si>
  <si>
    <t>Share price</t>
  </si>
  <si>
    <t>GBp</t>
  </si>
  <si>
    <t>GBP/USD</t>
  </si>
  <si>
    <t>USD per GBP</t>
  </si>
  <si>
    <t>Valuation date</t>
  </si>
  <si>
    <t>date</t>
  </si>
  <si>
    <t>Shell plc · integrated three-statement forecast</t>
  </si>
  <si>
    <t>USD millions. Column B is the FY2025 opening balance sheet (from History); C–L are forecasts. Interest is on average balances, so the sheet is circular: iterative calculation is switched on.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</si>
  <si>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</si>
  <si>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</si>
  <si>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</si>
  <si>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</si>
  <si>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</si>
  <si>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</si>
  <si>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</si>
  <si>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</si>
  <si>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</si>
  <si>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</si>
  <si>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</si>
  <si>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Income statement</t>
  </si>
  <si>
    <t>Revenue</t>
  </si>
  <si>
    <t>Operating EBIT</t>
  </si>
  <si>
    <t>D&amp;A</t>
  </si>
  <si>
    <t>EBITDA</t>
  </si>
  <si>
    <t>Interest expense</t>
  </si>
  <si>
    <t>Interest income</t>
  </si>
  <si>
    <t>Pre-tax profit ex JV</t>
  </si>
  <si>
    <t>Tax</t>
  </si>
  <si>
    <t>Net income</t>
  </si>
  <si>
    <t>Minorities</t>
  </si>
  <si>
    <t>Net income to shareholders</t>
  </si>
  <si>
    <t>Working capital</t>
  </si>
  <si>
    <t>Increase in working capital</t>
  </si>
  <si>
    <t>Minimum cash (floor)</t>
  </si>
  <si>
    <t>Cash flow</t>
  </si>
  <si>
    <t>Cash from operations</t>
  </si>
  <si>
    <t>Lease principal / new leases</t>
  </si>
  <si>
    <t>Cash from investing</t>
  </si>
  <si>
    <t>Cash before buybacks and revolver</t>
  </si>
  <si>
    <t>Cash available above the floor</t>
  </si>
  <si>
    <t>Revolver drawn</t>
  </si>
  <si>
    <t>Revolver repaid</t>
  </si>
  <si>
    <t>Share buybacks</t>
  </si>
  <si>
    <t>Cash from financing</t>
  </si>
  <si>
    <t>Net change in cash</t>
  </si>
  <si>
    <t>Balance sheet</t>
  </si>
  <si>
    <t>Cash</t>
  </si>
  <si>
    <t>Fixed assets incl. right-of-use</t>
  </si>
  <si>
    <t>Goodwill</t>
  </si>
  <si>
    <t>Other assets (plug, held flat)</t>
  </si>
  <si>
    <t>Total assets</t>
  </si>
  <si>
    <t>Borrowings</t>
  </si>
  <si>
    <t>Revolver</t>
  </si>
  <si>
    <t>Lease liabilities</t>
  </si>
  <si>
    <t>Other liabilities (plug, held flat)</t>
  </si>
  <si>
    <t>Total liabilities</t>
  </si>
  <si>
    <t>Shareholders’ equity</t>
  </si>
  <si>
    <t>Total equity</t>
  </si>
  <si>
    <t>Balance check (must be 0)</t>
  </si>
  <si>
    <t>Free cash flow and credit</t>
  </si>
  <si>
    <t>Unlevered free cash flow</t>
  </si>
  <si>
    <t>Net debt incl. leases</t>
  </si>
  <si>
    <t>Net debt / EBITDA</t>
  </si>
  <si>
    <t>Shell plc · discounted cash flow</t>
  </si>
  <si>
    <t>USD millions unless stated. Mid-year discounting from 31 Dec 2025; value rolled forward to the valuation date.</t>
  </si>
  <si>
    <t>Cost of capital</t>
  </si>
  <si>
    <t>Cost of equity = risk-free + beta × ERP</t>
  </si>
  <si>
    <t>After-tax cost of debt = (risk-free + spread) × (1 − tax)</t>
  </si>
  <si>
    <t>Market capitalisation (USD m)</t>
  </si>
  <si>
    <t>Borrowings + leases at book (USD m)</t>
  </si>
  <si>
    <t>WACC</t>
  </si>
  <si>
    <t>Cash flows</t>
  </si>
  <si>
    <t>Discount period (years, mid-year)</t>
  </si>
  <si>
    <t>Discount factor</t>
  </si>
  <si>
    <t>Present value</t>
  </si>
  <si>
    <t>Enterprise value to equity value</t>
  </si>
  <si>
    <t>PV of 10-year cash flows</t>
  </si>
  <si>
    <t>Terminal value (Gordon) at 2035</t>
  </si>
  <si>
    <t>PV of terminal value</t>
  </si>
  <si>
    <t>Enterprise value</t>
  </si>
  <si>
    <t>+ Equity-accounted JV stakes (book)</t>
  </si>
  <si>
    <t>− Borrowings</t>
  </si>
  <si>
    <t>− Lease liabilities</t>
  </si>
  <si>
    <t>+ Cash</t>
  </si>
  <si>
    <t>− Minorities</t>
  </si>
  <si>
    <t>− Decommissioning provisions, after tax</t>
  </si>
  <si>
    <t>− Pension deficit, after tax</t>
  </si>
  <si>
    <t>Equity value at 31 Dec 2025</t>
  </si>
  <si>
    <t>Roll-forward (years from 31 Dec 2025)</t>
  </si>
  <si>
    <t>Dividend per share paid in the interim (USD)</t>
  </si>
  <si>
    <t>Value per share (USD)</t>
  </si>
  <si>
    <t>Value per share (pence)</t>
  </si>
  <si>
    <t>Upside to market price</t>
  </si>
  <si>
    <t>Terminal value share of EV</t>
  </si>
  <si>
    <t>Implied exit EV/EBITDA</t>
  </si>
  <si>
    <t>Cross-check: exit multiple</t>
  </si>
  <si>
    <t>Terminal value = exit multiple × 2035 EBITDA</t>
  </si>
  <si>
    <t>PV of terminal value (end-year)</t>
  </si>
  <si>
    <t>Equity value</t>
  </si>
  <si>
    <t>Sensitivity: value per share (pence), WACC down the side, terminal growth across</t>
  </si>
  <si>
    <t>WACC \ g</t>
  </si>
  <si>
    <t>Carve-out LBO · Shell Marketing division</t>
  </si>
  <si>
    <t>USD millions. Division financials from Shell's FY2025 Form 20-F, note 7 (segment information). Sweep, revolver and interest on average balances are circular: iterative calculation is on.</t>
  </si>
  <si>
    <t>Operating base</t>
  </si>
  <si>
    <t>LTM revenue incl. inter-segment</t>
  </si>
  <si>
    <t>LTM EBITDA (reported basis)</t>
  </si>
  <si>
    <t>D&amp;A excl. impairments, % revenue</t>
  </si>
  <si>
    <t>Capex, % revenue</t>
  </si>
  <si>
    <t>Working capital, % revenue (group proxy)</t>
  </si>
  <si>
    <t>Standalone costs, % revenue</t>
  </si>
  <si>
    <t>Tax rate</t>
  </si>
  <si>
    <t>Interest deductibility cap, % EBITDA</t>
  </si>
  <si>
    <t>Deal</t>
  </si>
  <si>
    <t>Entry EV / LTM EBITDA</t>
  </si>
  <si>
    <t>Exit EV / EBITDA</t>
  </si>
  <si>
    <t>Hold period (years)</t>
  </si>
  <si>
    <t>Advisory fees, % EV</t>
  </si>
  <si>
    <t>Separation costs, % EV</t>
  </si>
  <si>
    <t>Exit costs, % exit EV</t>
  </si>
  <si>
    <t>Minimum cash, % revenue</t>
  </si>
  <si>
    <t>Management promote, % of gain</t>
  </si>
  <si>
    <t>Financing</t>
  </si>
  <si>
    <t>Term loan B, x pro-forma EBITDA</t>
  </si>
  <si>
    <t>Senior notes, x</t>
  </si>
  <si>
    <t>Mezzanine, x</t>
  </si>
  <si>
    <t>Maximum debt, % of EV</t>
  </si>
  <si>
    <t>Base rate (US 13-week T-bill)</t>
  </si>
  <si>
    <t>TLB spread</t>
  </si>
  <si>
    <t>Notes coupon</t>
  </si>
  <si>
    <t>Mezzanine cash coupon</t>
  </si>
  <si>
    <t>Mezzanine PIK coupon</t>
  </si>
  <si>
    <t>Revolver commitment, x</t>
  </si>
  <si>
    <t>Revolver spread</t>
  </si>
  <si>
    <t>Undrawn fee</t>
  </si>
  <si>
    <t>TLB amortisation, % original</t>
  </si>
  <si>
    <t>Cash sweep</t>
  </si>
  <si>
    <t>Financing fees, % funded debt</t>
  </si>
  <si>
    <t>Fee amortisation (years)</t>
  </si>
  <si>
    <t>Circularity switch: 1 = average balances, 0 = opening</t>
  </si>
  <si>
    <t>Sources and uses</t>
  </si>
  <si>
    <t>Purchase price (EV)</t>
  </si>
  <si>
    <t>Pro-forma EBITDA (after standalone costs)</t>
  </si>
  <si>
    <t>Debt scale factor (LTV cap)</t>
  </si>
  <si>
    <t>Term loan B</t>
  </si>
  <si>
    <t>Senior notes</t>
  </si>
  <si>
    <t>Mezzanine</t>
  </si>
  <si>
    <t>Total debt</t>
  </si>
  <si>
    <t>Revolver commitment (undrawn)</t>
  </si>
  <si>
    <t>Financing fees</t>
  </si>
  <si>
    <t>Advisory fees</t>
  </si>
  <si>
    <t>Separation costs</t>
  </si>
  <si>
    <t>Cash to balance sheet</t>
  </si>
  <si>
    <t>Total uses</t>
  </si>
  <si>
    <t>Sponsor equity</t>
  </si>
  <si>
    <t>Annual projection</t>
  </si>
  <si>
    <t>Close</t>
  </si>
  <si>
    <t>Year 1</t>
  </si>
  <si>
    <t>Year 2</t>
  </si>
  <si>
    <t>Year 3</t>
  </si>
  <si>
    <t>Year 4</t>
  </si>
  <si>
    <t>Year 5</t>
  </si>
  <si>
    <t>Year 6</t>
  </si>
  <si>
    <t>Year 7</t>
  </si>
  <si>
    <t>Revenue growth (input)</t>
  </si>
  <si>
    <t>EBITDA margin before standalone costs (input)</t>
  </si>
  <si>
    <t>EBITDA (after standalone costs)</t>
  </si>
  <si>
    <t>EBIT</t>
  </si>
  <si>
    <t>Capex</t>
  </si>
  <si>
    <t>Mandatory TLB amortisation</t>
  </si>
  <si>
    <t>Revolver interest + undrawn fee</t>
  </si>
  <si>
    <t>TLB interest</t>
  </si>
  <si>
    <t>Notes interest</t>
  </si>
  <si>
    <t>Mezzanine cash interest</t>
  </si>
  <si>
    <t>Mezzanine PIK accrual</t>
  </si>
  <si>
    <t>Interest income on cash</t>
  </si>
  <si>
    <t>Net cash interest</t>
  </si>
  <si>
    <t>Net interest incl. PIK and fee amortisation</t>
  </si>
  <si>
    <t>Deductible interest (capped)</t>
  </si>
  <si>
    <t>Cash tax</t>
  </si>
  <si>
    <t>Cash flow before debt service</t>
  </si>
  <si>
    <t>Cash sweep to TLB</t>
  </si>
  <si>
    <t>Free cash flow after interest</t>
  </si>
  <si>
    <t>Mezzanine (with PIK)</t>
  </si>
  <si>
    <t>Net debt</t>
  </si>
  <si>
    <t>Debt / EBITDA</t>
  </si>
  <si>
    <t>EBITDA / net cash interest</t>
  </si>
  <si>
    <t>Returns at exit</t>
  </si>
  <si>
    <t>Exit EV = exit multiple × EBITDA in the exit year</t>
  </si>
  <si>
    <t>Net debt at exit</t>
  </si>
  <si>
    <t>Exit costs</t>
  </si>
  <si>
    <t>Equity before promote</t>
  </si>
  <si>
    <t>Management promote</t>
  </si>
  <si>
    <t>Sponsor equity at exit</t>
  </si>
  <si>
    <t>Money multiple (MOIC)</t>
  </si>
  <si>
    <t>IRR</t>
  </si>
  <si>
    <t>Shell acquires BP · deal terms, purchase accounting and EPS</t>
  </si>
  <si>
    <t>USD millions. Terms and accounting are live formulas. Standalone and pro forma net income come from the Python engine (the full pro forma forecast is in model/ma.py) and are marked as such.</t>
  </si>
  <si>
    <t>Market data</t>
  </si>
  <si>
    <t>Shell share price (GBp)</t>
  </si>
  <si>
    <t>Shell shares (m)</t>
  </si>
  <si>
    <t>BP share price (GBp)</t>
  </si>
  <si>
    <t>BP shares (m)</t>
  </si>
  <si>
    <t>Terms</t>
  </si>
  <si>
    <t>Premium to BP share price</t>
  </si>
  <si>
    <t>Paid in Shell shares</t>
  </si>
  <si>
    <t>Advisory fees, % target EV</t>
  </si>
  <si>
    <t>Financing fees, % acquisition debt</t>
  </si>
  <si>
    <t>Cash consideration funded from cash (USD m)</t>
  </si>
  <si>
    <t>BP divested, % of EBITDA</t>
  </si>
  <si>
    <t>Divestment EV/EBITDA</t>
  </si>
  <si>
    <t>Fair-value uplift on BP fixed assets</t>
  </si>
  <si>
    <t>Deferred tax rate on uplift</t>
  </si>
  <si>
    <t>Uplift depreciation life (years)</t>
  </si>
  <si>
    <t>BP at close, 31 Dec 2026 (Python standalone forecast)</t>
  </si>
  <si>
    <t>Equity attributable to shareholders</t>
  </si>
  <si>
    <t>Fixed assets</t>
  </si>
  <si>
    <t>Borrowings + revolver</t>
  </si>
  <si>
    <t>Minorities (incl. hybrids)</t>
  </si>
  <si>
    <t>EBITDA 2026</t>
  </si>
  <si>
    <t>Consideration, funding and ownership</t>
  </si>
  <si>
    <t>BP market capitalisation</t>
  </si>
  <si>
    <t>Equity purchase price</t>
  </si>
  <si>
    <t>Offer per BP share (GBp)</t>
  </si>
  <si>
    <t>Paid in new Shell shares</t>
  </si>
  <si>
    <t>Paid in cash</t>
  </si>
  <si>
    <t>New Shell shares issued (m)</t>
  </si>
  <si>
    <t>Pro forma shares (m)</t>
  </si>
  <si>
    <t>BP holders' ownership</t>
  </si>
  <si>
    <t>BP net debt incl. leases</t>
  </si>
  <si>
    <t>Target enterprise value (price + net debt + minorities)</t>
  </si>
  <si>
    <t>Divestment proceeds</t>
  </si>
  <si>
    <t>Acquisition debt (grossed up for its own fee)</t>
  </si>
  <si>
    <t>Purchase price allocation (IFRS 3)</t>
  </si>
  <si>
    <t>Fair-value uplift</t>
  </si>
  <si>
    <t>Deferred tax on uplift</t>
  </si>
  <si>
    <t>Fair value of net assets acquired</t>
  </si>
  <si>
    <t>Goodwill created</t>
  </si>
  <si>
    <t>Annual step-up depreciation</t>
  </si>
  <si>
    <t>EPS accretion (net income from the Python engine; per-share maths live)</t>
  </si>
  <si>
    <t>Shell standalone net income to shareholders (Python)</t>
  </si>
  <si>
    <t>Pro forma net income to shareholders (Python)</t>
  </si>
  <si>
    <t>Shell standalone EPS (USD)</t>
  </si>
  <si>
    <t>Pro forma EPS (USD)</t>
  </si>
  <si>
    <t>Accretion / (dilution)</t>
  </si>
  <si>
    <t>Portfolio · 13 assets in GBP</t>
  </si>
  <si>
    <t>Annualised, from weekly GBP returns since Jan 2021 (Yahoo Finance adjusted closes). Covariance is Ledoit-Wolf shrunk. Weights come from the Python optimiser (it cannot be expressed as formulas); edit any weight and the statistics recalculate.</t>
  </si>
  <si>
    <t>Risk-free rate</t>
  </si>
  <si>
    <t>Equity risk premium (CAPM prior)</t>
  </si>
  <si>
    <t>Weight on history in expected returns</t>
  </si>
  <si>
    <t>Asset</t>
  </si>
  <si>
    <t>Hist. mean</t>
  </si>
  <si>
    <t>Beta</t>
  </si>
  <si>
    <t>Exp. return</t>
  </si>
  <si>
    <t>Max Sharpe</t>
  </si>
  <si>
    <t>Min variance</t>
  </si>
  <si>
    <t>Risk parity</t>
  </si>
  <si>
    <t>Max diversification</t>
  </si>
  <si>
    <t>Equal weight</t>
  </si>
  <si>
    <t>Barclays</t>
  </si>
  <si>
    <t>Prudential</t>
  </si>
  <si>
    <t>Rolls-Royce</t>
  </si>
  <si>
    <t>Glencore</t>
  </si>
  <si>
    <t>SSE</t>
  </si>
  <si>
    <t>United Utilities</t>
  </si>
  <si>
    <t>BT</t>
  </si>
  <si>
    <t>British American Tobacco</t>
  </si>
  <si>
    <t>AstraZeneca</t>
  </si>
  <si>
    <t>Palantir</t>
  </si>
  <si>
    <t>Coca-Cola</t>
  </si>
  <si>
    <t>Equinix</t>
  </si>
  <si>
    <t>EEMA</t>
  </si>
  <si>
    <t>Sum of weights</t>
  </si>
  <si>
    <t>Annual covariance matrix (Ledoit-Wolf)</t>
  </si>
  <si>
    <t>Weights as rows (for w′Σw)</t>
  </si>
  <si>
    <t>Portfolio statistics</t>
  </si>
  <si>
    <t>Volatility</t>
  </si>
  <si>
    <t>Sharpe</t>
  </si>
  <si>
    <t>Checks · workbook vs Python engine</t>
  </si>
  <si>
    <t>Each line compares a live Excel result with the Python engine. Tolerances are absolute.</t>
  </si>
  <si>
    <t>Check</t>
  </si>
  <si>
    <t>Excel</t>
  </si>
  <si>
    <t>Python</t>
  </si>
  <si>
    <t>Difference</t>
  </si>
  <si>
    <t>Tolerance</t>
  </si>
  <si>
    <t>Status</t>
  </si>
  <si>
    <t>History balances (max abs, FY2021–25)</t>
  </si>
  <si>
    <t>Forecast balance sheet balances (max abs)</t>
  </si>
  <si>
    <t>Revenue 2035</t>
  </si>
  <si>
    <t>Net income 2026</t>
  </si>
  <si>
    <t>Closing cash 2030</t>
  </si>
  <si>
    <t>Buybacks 2028</t>
  </si>
  <si>
    <t>Unlevered FCF 2035</t>
  </si>
  <si>
    <t>DCF value per share (pence)</t>
  </si>
  <si>
    <t>Exit-multiple value per share (pence)</t>
  </si>
  <si>
    <t>Sensitivity grid centre = point estimate</t>
  </si>
  <si>
    <t>Interest expense 2027</t>
  </si>
  <si>
    <t>Shareholders' equity 2035</t>
  </si>
  <si>
    <t>LBO sponsor equity</t>
  </si>
  <si>
    <t>LBO cash interest, year 1</t>
  </si>
  <si>
    <t>LBO term loan B after year 5</t>
  </si>
  <si>
    <t>LBO IRR</t>
  </si>
  <si>
    <t>LBO MOIC</t>
  </si>
  <si>
    <t>Merger: equity purchase price</t>
  </si>
  <si>
    <t>Merger: acquisition debt</t>
  </si>
  <si>
    <t>Merger: BP holders' ownership</t>
  </si>
  <si>
    <t>Merger: goodwill created</t>
  </si>
  <si>
    <t>Merger: EPS accretion 2029</t>
  </si>
  <si>
    <t>Portfolio volatility · Max Sharpe</t>
  </si>
  <si>
    <t>Portfolio expected return · Max Sharpe</t>
  </si>
  <si>
    <t>Portfolio volatility · Min variance</t>
  </si>
  <si>
    <t>Portfolio expected return · Min variance</t>
  </si>
  <si>
    <t>Portfolio volatility · Risk parity</t>
  </si>
  <si>
    <t>Portfolio expected return · Risk parity</t>
  </si>
  <si>
    <t>Portfolio volatility · Max diversification</t>
  </si>
  <si>
    <t>Portfolio expected return · Max diversification</t>
  </si>
  <si>
    <t>Portfolio volatility · Equal weight</t>
  </si>
  <si>
    <t>Portfolio expected return · Equal weight</t>
  </si>
  <si>
    <t>Portfolio weights sum to 100% (max abs error)</t>
  </si>
  <si>
    <t>Overall</t>
  </si>
  <si>
    <t>Shell plc · reported history</t>
  </si>
  <si>
    <t>USD millions. Source: Shell plc Form 20-F, FY2021–FY2025, XBRL facts via SEC EDGAR (https://data.sec.gov/api/xbrl/companyfacts/CIK0001306965.json). Derived lines are noted.</t>
  </si>
  <si>
    <t>Line item (USD m)</t>
  </si>
  <si>
    <t>2021</t>
  </si>
  <si>
    <t>2022</t>
  </si>
  <si>
    <t>2023</t>
  </si>
  <si>
    <t>2024</t>
  </si>
  <si>
    <t>2025</t>
  </si>
  <si>
    <t>Profit before tax</t>
  </si>
  <si>
    <t>Taxation</t>
  </si>
  <si>
    <t>D&amp;A incl. impairments (cash-flow add-back)</t>
  </si>
  <si>
    <t>Dividends paid</t>
  </si>
  <si>
    <t>Current assets</t>
  </si>
  <si>
    <t>Cash and equivalents</t>
  </si>
  <si>
    <t>Trade and other receivables</t>
  </si>
  <si>
    <t>Property, plant &amp; equipment incl. right-of-use</t>
  </si>
  <si>
    <t>Other intangibles</t>
  </si>
  <si>
    <t>Current liabilities</t>
  </si>
  <si>
    <t>Trade and other payables</t>
  </si>
  <si>
    <t>Current borrowings</t>
  </si>
  <si>
    <t>Long-term borrowings</t>
  </si>
  <si>
    <t>Non-controlling interests</t>
  </si>
  <si>
    <t>Net debt (as reported)</t>
  </si>
  <si>
    <t>Interest and other income</t>
  </si>
  <si>
    <t>Share of JV/associate profit</t>
  </si>
  <si>
    <t>Equity-accounted investments</t>
  </si>
  <si>
    <t>Net impairments (derived)</t>
  </si>
  <si>
    <t>D&amp;A excl. impairments (derived)</t>
  </si>
  <si>
    <t>Lease principal repaid (derived)</t>
  </si>
  <si>
    <t>Decommissioning provisions</t>
  </si>
  <si>
    <t>Net pension deficit (derived)</t>
  </si>
  <si>
    <t>Operating EBIT, ex JV and finance items (derived)</t>
  </si>
  <si>
    <t>Balance check: total assets − total liabilities − 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</si>
</sst>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&quot;-&quot;"/>
    <numFmt numFmtId="165" formatCode="0.0%;\(0.0%\);&quot;-&quot;"/>
    <numFmt numFmtId="166" formatCode="0.00%;\(0.00%\);&quot;-&quot;"/>
    <numFmt numFmtId="167" formatCode="#,##0.00;\(#,##0.00\);&quot;-&quot;"/>
    <numFmt numFmtId="168" formatCode="0.00&quot;x&quot;;\(0.00&quot;x&quot;\);&quot;-&quot;"/>
    <numFmt numFmtId="169" formatCode="#,##0.0;\(#,##0.0\);&quot;-&quot;"/>
    <numFmt numFmtId="170" formatCode="#,##0.0000;\(#,##0.0000\);&quot;-&quot;"/>
    <numFmt numFmtId="172" formatCode="yyyy\-mm\-dd"/>
    <numFmt numFmtId="173" formatCode="0.0E+00"/>
  </numFmts>
  <fonts count="12" x14ac:knownFonts="1">
    <font>
      <sz val="11"/>
      <color theme="1"/>
      <name val="Calibri"/>
      <family val="2"/>
      <scheme val="minor"/>
    </font>
    <font>
      <b/>
      <sz val="16"/>
      <color rgb="FF111114"/>
      <name val="Arial"/>
    </font>
    <font>
      <i/>
      <sz val="9"/>
      <color rgb="FF666666"/>
      <name val="Arial"/>
    </font>
    <font>
      <b/>
      <sz val="10"/>
      <color rgb="FFC9A961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name val="Arial"/>
    </font>
    <font>
      <b/>
      <sz val="11"/>
      <color rgb="FF8A6D2B"/>
      <name val="Arial"/>
    </font>
    <font>
      <b/>
      <sz val="10"/>
      <color rgb="FF000000"/>
      <name val="Arial"/>
    </font>
    <font>
      <sz val="10"/>
      <color rgb="FF008000"/>
      <name val="Arial"/>
    </font>
    <font>
      <b/>
      <sz val="10"/>
      <color rgb="FF008000"/>
      <name val="Arial"/>
    </font>
    <font>
      <u/>
      <sz val="10"/>
      <color rgb="FF0563C1"/>
      <name val="Arial"/>
    </font>
  </fonts>
  <fills count="5">
    <fill>
      <patternFill patternType="none"/>
    </fill>
    <fill>
      <patternFill patternType="gray125"/>
    </fill>
    <fill>
      <patternFill patternType="solid">
        <fgColor rgb="FF111114"/>
      </patternFill>
    </fill>
    <fill>
      <patternFill patternType="solid">
        <fgColor rgb="FFFFFF00"/>
      </patternFill>
    </fill>
    <fill>
      <patternFill patternType="solid">
        <fgColor rgb="FFF3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7" fillId="0" borderId="0" xfId="0" applyFont="1"/>
    <xf numFmtId="0" fontId="2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4" fillId="0" borderId="0" xfId="0" applyFont="1"/>
    <xf numFmtId="0" fontId="5" fillId="0" borderId="0" xfId="0" applyFont="1"/>
    <xf numFmtId="0" fontId="9" fillId="0" borderId="0" xfId="0" applyFont="1"/>
    <xf numFmtId="0" fontId="4" fillId="3" borderId="0" xfId="0" applyFont="1" applyFill="1"/>
    <xf numFmtId="0" fontId="1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165" fontId="5" fillId="3" borderId="0" xfId="0" applyNumberFormat="1" applyFont="1" applyFill="1"/>
    <xf numFmtId="166" fontId="5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/>
    <xf numFmtId="0" fontId="7" fillId="4" borderId="0" xfId="0" applyFont="1" applyFill="1"/>
    <xf numFmtId="0" fontId="0" fillId="4" borderId="0" xfId="0" applyFill="1"/>
    <xf numFmtId="1" fontId="5" fillId="0" borderId="0" xfId="0" applyNumberFormat="1" applyFont="1"/>
    <xf numFmtId="166" fontId="5" fillId="3" borderId="0" xfId="0" applyNumberFormat="1" applyFont="1" applyFill="1"/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70" fontId="5" fillId="0" borderId="0" xfId="0" applyNumberFormat="1" applyFont="1"/>
    <xf numFmtId="172" fontId="5" fillId="0" borderId="0" xfId="0" applyNumberFormat="1" applyFont="1"/>
    <xf numFmtId="0" fontId="8" fillId="0" borderId="0" xfId="0" applyFont="1"/>
    <xf numFmtId="164" fontId="9" fillId="0" borderId="0" xfId="0" applyNumberFormat="1" applyFont="1"/>
    <xf numFmtId="164" fontId="4" fillId="0" borderId="0" xfId="0" applyNumberFormat="1" applyFont="1"/>
    <xf numFmtId="168" fontId="4" fillId="0" borderId="0" xfId="0" applyNumberFormat="1" applyFont="1"/>
    <xf numFmtId="166" fontId="4" fillId="0" borderId="0" xfId="0" applyNumberFormat="1" applyFont="1"/>
    <xf numFmtId="166" fontId="8" fillId="0" borderId="0" xfId="0" applyNumberFormat="1" applyFont="1"/>
    <xf numFmtId="169" fontId="4" fillId="0" borderId="0" xfId="0" applyNumberFormat="1" applyFont="1"/>
    <xf numFmtId="170" fontId="4" fillId="0" borderId="0" xfId="0" applyNumberFormat="1" applyFont="1"/>
    <xf numFmtId="164" fontId="8" fillId="0" borderId="0" xfId="0" applyNumberFormat="1" applyFont="1"/>
    <xf numFmtId="167" fontId="4" fillId="0" borderId="0" xfId="0" applyNumberFormat="1" applyFont="1"/>
    <xf numFmtId="169" fontId="8" fillId="3" borderId="0" xfId="0" applyNumberFormat="1" applyFont="1" applyFill="1"/>
    <xf numFmtId="165" fontId="4" fillId="0" borderId="0" xfId="0" applyNumberFormat="1" applyFont="1"/>
    <xf numFmtId="168" fontId="9" fillId="0" borderId="0" xfId="0" applyNumberFormat="1" applyFont="1"/>
    <xf numFmtId="165" fontId="8" fillId="0" borderId="0" xfId="0" applyNumberFormat="1" applyFont="1"/>
    <xf numFmtId="168" fontId="5" fillId="3" borderId="0" xfId="0" applyNumberFormat="1" applyFont="1" applyFill="1"/>
    <xf numFmtId="165" fontId="8" fillId="3" borderId="0" xfId="0" applyNumberFormat="1" applyFont="1" applyFill="1"/>
    <xf numFmtId="170" fontId="9" fillId="0" borderId="0" xfId="0" applyNumberFormat="1" applyFont="1"/>
    <xf numFmtId="173" fontId="5" fillId="0" borderId="0" xfId="0" applyNumberFormat="1" applyFont="1"/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43100" cy="485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27"/>
  <sheetViews>
    <sheetView showGridLines="0" tabSelected="1" workbookViewId="0"/>
  </sheetViews>
  <sheetFormatPr defaultRowHeight="14.5" x14ac:dyDescent="0.35"/>
  <cols>
    <col min="1" max="1" width="34" customWidth="1"/>
    <col min="2" max="2" width="90" customWidth="1"/>
  </cols>
  <sheetData>
    <row r="5" spans="1:2" x14ac:dyDescent="0.35">
      <c r="A5" s="1" t="s">
        <v>0</v>
      </c>
    </row>
    <row r="6" spans="1:2" x14ac:dyDescent="0.35">
      <c r="A6" s="2" t="s">
        <v>1</v>
      </c>
    </row>
    <row r="8" spans="1:2" x14ac:dyDescent="0.35">
      <c r="A8" s="3" t="s">
        <v>2</v>
      </c>
      <c r="B8" s="4" t="str">
        <f ca="1">Checks!F42</f>
        <v>ALL PASS</v>
      </c>
    </row>
    <row r="10" spans="1:2" x14ac:dyDescent="0.35">
      <c r="A10" s="1" t="s">
        <v>3</v>
      </c>
    </row>
    <row r="11" spans="1:2" x14ac:dyDescent="0.35">
      <c r="A11" s="5" t="s">
        <v>4</v>
      </c>
      <c r="B11" s="6" t="s">
        <v>5</v>
      </c>
    </row>
    <row r="12" spans="1:2" x14ac:dyDescent="0.35">
      <c r="A12" s="5" t="s">
        <v>6</v>
      </c>
      <c r="B12" s="6" t="s">
        <v>7</v>
      </c>
    </row>
    <row r="13" spans="1:2" x14ac:dyDescent="0.35">
      <c r="A13" s="5" t="s">
        <v>8</v>
      </c>
      <c r="B13" s="6" t="s">
        <v>9</v>
      </c>
    </row>
    <row r="14" spans="1:2" x14ac:dyDescent="0.35">
      <c r="A14" s="5" t="s">
        <v>10</v>
      </c>
      <c r="B14" s="6" t="s">
        <v>11</v>
      </c>
    </row>
    <row r="15" spans="1:2" x14ac:dyDescent="0.35">
      <c r="A15" s="5" t="s">
        <v>12</v>
      </c>
      <c r="B15" s="6" t="s">
        <v>13</v>
      </c>
    </row>
    <row r="16" spans="1:2" x14ac:dyDescent="0.35">
      <c r="A16" s="5" t="s">
        <v>14</v>
      </c>
      <c r="B16" s="6" t="s">
        <v>15</v>
      </c>
    </row>
    <row r="17" spans="1:2" x14ac:dyDescent="0.35">
      <c r="A17" s="5" t="s">
        <v>16</v>
      </c>
      <c r="B17" s="6" t="s">
        <v>17</v>
      </c>
    </row>
    <row r="18" spans="1:2" x14ac:dyDescent="0.35">
      <c r="A18" s="5" t="s">
        <v>18</v>
      </c>
      <c r="B18" s="6" t="s">
        <v>19</v>
      </c>
    </row>
    <row r="20" spans="1:2" x14ac:dyDescent="0.35">
      <c r="A20" s="1" t="s">
        <v>20</v>
      </c>
    </row>
    <row r="21" spans="1:2" x14ac:dyDescent="0.35">
      <c r="A21" s="7" t="s">
        <v>21</v>
      </c>
    </row>
    <row r="22" spans="1:2" x14ac:dyDescent="0.35">
      <c r="A22" s="6" t="s">
        <v>22</v>
      </c>
    </row>
    <row r="23" spans="1:2" x14ac:dyDescent="0.35">
      <c r="A23" s="8" t="s">
        <v>23</v>
      </c>
    </row>
    <row r="24" spans="1:2" x14ac:dyDescent="0.35">
      <c r="A24" s="9" t="s">
        <v>24</v>
      </c>
    </row>
    <row r="26" spans="1:2" x14ac:dyDescent="0.35">
      <c r="A26" s="1" t="s">
        <v>25</v>
      </c>
    </row>
    <row r="27" spans="1:2" x14ac:dyDescent="0.35">
      <c r="A27" s="2" t="s">
        <v>26</v>
      </c>
    </row>
  </sheetData>
  <hyperlinks>
    <hyperlink ref="A11" location="'Inputs'!A1" display="Inputs" xr:uid="{00000000-0004-0000-0000-000000000000}"/>
    <hyperlink ref="A12" location="'Forecast'!A1" display="Forecast" xr:uid="{00000000-0004-0000-0000-000001000000}"/>
    <hyperlink ref="A13" location="'DCF'!A1" display="DCF" xr:uid="{00000000-0004-0000-0000-000002000000}"/>
    <hyperlink ref="A14" location="'LBO'!A1" display="LBO" xr:uid="{00000000-0004-0000-0000-000003000000}"/>
    <hyperlink ref="A15" location="'Merger'!A1" display="Merger" xr:uid="{00000000-0004-0000-0000-000004000000}"/>
    <hyperlink ref="A16" location="'Portfolio'!A1" display="Portfolio" xr:uid="{00000000-0004-0000-0000-000005000000}"/>
    <hyperlink ref="A17" location="'Checks'!A1" display="Checks" xr:uid="{00000000-0004-0000-0000-000006000000}"/>
    <hyperlink ref="A18" location="'History'!A1" display="History" xr:uid="{00000000-0004-0000-0000-000007000000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6" customWidth="1"/>
    <col min="2" max="13" width="11" customWidth="1"/>
  </cols>
  <sheetData>
    <row r="1" spans="1:12" ht="20" x14ac:dyDescent="0.4">
      <c r="A1" s="10" t="s">
        <v>27</v>
      </c>
    </row>
    <row r="2" spans="1:12" x14ac:dyDescent="0.35">
      <c r="A2" s="2" t="s">
        <v>28</v>
      </c>
    </row>
    <row r="4" spans="1:12" x14ac:dyDescent="0.35">
      <c r="A4" s="11" t="s">
        <v>29</v>
      </c>
      <c r="B4" s="12" t="s">
        <v>30</v>
      </c>
      <c r="C4" s="12" t="s">
        <v>31</v>
      </c>
      <c r="D4" s="12" t="s">
        <v>32</v>
      </c>
      <c r="E4" s="12" t="s">
        <v>33</v>
      </c>
      <c r="F4" s="12" t="s">
        <v>34</v>
      </c>
      <c r="G4" s="12" t="s">
        <v>35</v>
      </c>
      <c r="H4" s="12" t="s">
        <v>36</v>
      </c>
      <c r="I4" s="12" t="s">
        <v>37</v>
      </c>
      <c r="J4" s="12" t="s">
        <v>38</v>
      </c>
      <c r="K4" s="12" t="s">
        <v>39</v>
      </c>
      <c r="L4" s="12" t="s">
        <v>40</v>
      </c>
    </row>
    <row r="5" spans="1:12" x14ac:dyDescent="0.35">
      <c r="A5" s="6" t="s">
        <v>41</v>
      </c>
      <c r="B5" s="2" t="s">
        <v>42</v>
      </c>
      <c r="C5" s="13">
        <v>-0.01</v>
      </c>
      <c r="D5" s="13">
        <v>0.01</v>
      </c>
      <c r="E5" s="13">
        <v>0.02</v>
      </c>
      <c r="F5" s="13">
        <v>0.02</v>
      </c>
      <c r="G5" s="13">
        <v>0.02</v>
      </c>
      <c r="H5" s="13">
        <v>1.9E-2</v>
      </c>
      <c r="I5" s="13">
        <v>1.7999999999999999E-2</v>
      </c>
      <c r="J5" s="13">
        <v>1.7000000000000001E-2</v>
      </c>
      <c r="K5" s="13">
        <v>1.6E-2</v>
      </c>
      <c r="L5" s="13">
        <v>1.4999999999999999E-2</v>
      </c>
    </row>
    <row r="6" spans="1:12" x14ac:dyDescent="0.35">
      <c r="A6" s="6" t="s">
        <v>43</v>
      </c>
      <c r="B6" s="2" t="s">
        <v>42</v>
      </c>
      <c r="C6" s="13">
        <v>0.1093898327151336</v>
      </c>
      <c r="D6" s="13">
        <v>0.1093898327151336</v>
      </c>
      <c r="E6" s="13">
        <v>0.1093898327151336</v>
      </c>
      <c r="F6" s="13">
        <v>0.1093898327151336</v>
      </c>
      <c r="G6" s="13">
        <v>0.1093898327151336</v>
      </c>
      <c r="H6" s="13">
        <v>0.1093898327151336</v>
      </c>
      <c r="I6" s="13">
        <v>0.1093898327151336</v>
      </c>
      <c r="J6" s="13">
        <v>0.1093898327151336</v>
      </c>
      <c r="K6" s="13">
        <v>0.1093898327151336</v>
      </c>
      <c r="L6" s="13">
        <v>0.1093898327151336</v>
      </c>
    </row>
    <row r="7" spans="1:12" x14ac:dyDescent="0.35">
      <c r="A7" s="6" t="s">
        <v>44</v>
      </c>
      <c r="B7" s="2" t="s">
        <v>45</v>
      </c>
      <c r="C7" s="14">
        <v>8.3054187930427223E-2</v>
      </c>
      <c r="D7" s="14">
        <v>8.3054187930427223E-2</v>
      </c>
      <c r="E7" s="14">
        <v>8.3054187930427223E-2</v>
      </c>
      <c r="F7" s="14">
        <v>8.3054187930427223E-2</v>
      </c>
      <c r="G7" s="14">
        <v>8.3054187930427223E-2</v>
      </c>
      <c r="H7" s="14">
        <v>8.3054187930427223E-2</v>
      </c>
      <c r="I7" s="14">
        <v>8.3054187930427223E-2</v>
      </c>
      <c r="J7" s="14">
        <v>8.3054187930427223E-2</v>
      </c>
      <c r="K7" s="14">
        <v>8.3054187930427223E-2</v>
      </c>
      <c r="L7" s="14">
        <v>8.3054187930427223E-2</v>
      </c>
    </row>
    <row r="8" spans="1:12" x14ac:dyDescent="0.35">
      <c r="A8" s="6" t="s">
        <v>46</v>
      </c>
      <c r="B8" s="2" t="s">
        <v>45</v>
      </c>
      <c r="C8" s="14">
        <v>7.0992858373987389E-2</v>
      </c>
      <c r="D8" s="14">
        <v>7.0992858373987389E-2</v>
      </c>
      <c r="E8" s="14">
        <v>7.0992858373987389E-2</v>
      </c>
      <c r="F8" s="14">
        <v>7.0992858373987389E-2</v>
      </c>
      <c r="G8" s="14">
        <v>7.0992858373987389E-2</v>
      </c>
      <c r="H8" s="14">
        <v>7.0992858373987389E-2</v>
      </c>
      <c r="I8" s="14">
        <v>7.0992858373987389E-2</v>
      </c>
      <c r="J8" s="14">
        <v>7.0992858373987389E-2</v>
      </c>
      <c r="K8" s="14">
        <v>7.0992858373987389E-2</v>
      </c>
      <c r="L8" s="14">
        <v>7.0992858373987389E-2</v>
      </c>
    </row>
    <row r="9" spans="1:12" x14ac:dyDescent="0.35">
      <c r="A9" s="6" t="s">
        <v>47</v>
      </c>
      <c r="B9" s="2" t="s">
        <v>45</v>
      </c>
      <c r="C9" s="14">
        <v>1.9712536438779099E-2</v>
      </c>
      <c r="D9" s="14">
        <v>1.9712536438779099E-2</v>
      </c>
      <c r="E9" s="14">
        <v>1.9712536438779099E-2</v>
      </c>
      <c r="F9" s="14">
        <v>1.9712536438779099E-2</v>
      </c>
      <c r="G9" s="14">
        <v>1.9712536438779099E-2</v>
      </c>
      <c r="H9" s="14">
        <v>1.9712536438779099E-2</v>
      </c>
      <c r="I9" s="14">
        <v>1.9712536438779099E-2</v>
      </c>
      <c r="J9" s="14">
        <v>1.9712536438779099E-2</v>
      </c>
      <c r="K9" s="14">
        <v>1.9712536438779099E-2</v>
      </c>
      <c r="L9" s="14">
        <v>1.9712536438779099E-2</v>
      </c>
    </row>
    <row r="10" spans="1:12" x14ac:dyDescent="0.35">
      <c r="A10" s="6" t="s">
        <v>48</v>
      </c>
      <c r="B10" s="2" t="s">
        <v>42</v>
      </c>
      <c r="C10" s="15">
        <v>0.38444880873797221</v>
      </c>
      <c r="D10" s="15">
        <v>0.38167103096019439</v>
      </c>
      <c r="E10" s="15">
        <v>0.37889325318241668</v>
      </c>
      <c r="F10" s="15">
        <v>0.37611547540463891</v>
      </c>
      <c r="G10" s="15">
        <v>0.37333769762686109</v>
      </c>
      <c r="H10" s="15">
        <v>0.37055991984908332</v>
      </c>
      <c r="I10" s="15">
        <v>0.36778214207130561</v>
      </c>
      <c r="J10" s="15">
        <v>0.36500436429352778</v>
      </c>
      <c r="K10" s="15">
        <v>0.36222658651575002</v>
      </c>
      <c r="L10" s="15">
        <v>0.35944880873797219</v>
      </c>
    </row>
    <row r="11" spans="1:12" x14ac:dyDescent="0.35">
      <c r="A11" s="6" t="s">
        <v>49</v>
      </c>
      <c r="B11" s="2" t="s">
        <v>45</v>
      </c>
      <c r="C11" s="14">
        <v>9.4515241960385354E-3</v>
      </c>
      <c r="D11" s="14">
        <v>9.4515241960385354E-3</v>
      </c>
      <c r="E11" s="14">
        <v>9.4515241960385354E-3</v>
      </c>
      <c r="F11" s="14">
        <v>9.4515241960385354E-3</v>
      </c>
      <c r="G11" s="14">
        <v>9.4515241960385354E-3</v>
      </c>
      <c r="H11" s="14">
        <v>9.4515241960385354E-3</v>
      </c>
      <c r="I11" s="14">
        <v>9.4515241960385354E-3</v>
      </c>
      <c r="J11" s="14">
        <v>9.4515241960385354E-3</v>
      </c>
      <c r="K11" s="14">
        <v>9.4515241960385354E-3</v>
      </c>
      <c r="L11" s="14">
        <v>9.4515241960385354E-3</v>
      </c>
    </row>
    <row r="12" spans="1:12" x14ac:dyDescent="0.35">
      <c r="A12" s="6" t="s">
        <v>50</v>
      </c>
      <c r="B12" s="2" t="s">
        <v>51</v>
      </c>
      <c r="C12" s="16">
        <v>8963.76</v>
      </c>
      <c r="D12" s="16">
        <v>9322.3104000000003</v>
      </c>
      <c r="E12" s="16">
        <v>9695.2028160000009</v>
      </c>
      <c r="F12" s="16">
        <v>10083.01092864</v>
      </c>
      <c r="G12" s="16">
        <v>10486.3313657856</v>
      </c>
      <c r="H12" s="16">
        <v>10748.489649930239</v>
      </c>
      <c r="I12" s="16">
        <v>11017.2018911785</v>
      </c>
      <c r="J12" s="16">
        <v>11292.63193845796</v>
      </c>
      <c r="K12" s="16">
        <v>11574.947736919399</v>
      </c>
      <c r="L12" s="16">
        <v>11864.32143034239</v>
      </c>
    </row>
    <row r="13" spans="1:12" x14ac:dyDescent="0.35">
      <c r="A13" s="6" t="s">
        <v>52</v>
      </c>
      <c r="B13" s="2" t="s">
        <v>51</v>
      </c>
      <c r="C13" s="16">
        <v>13879</v>
      </c>
      <c r="D13" s="16">
        <v>13879</v>
      </c>
      <c r="E13" s="16">
        <v>13879</v>
      </c>
      <c r="F13" s="16">
        <v>13879</v>
      </c>
      <c r="G13" s="16">
        <v>13879</v>
      </c>
      <c r="H13" s="16">
        <v>13879</v>
      </c>
      <c r="I13" s="16">
        <v>13879</v>
      </c>
      <c r="J13" s="16">
        <v>13879</v>
      </c>
      <c r="K13" s="16">
        <v>13879</v>
      </c>
      <c r="L13" s="16">
        <v>13879</v>
      </c>
    </row>
    <row r="14" spans="1:12" x14ac:dyDescent="0.35">
      <c r="A14" s="6" t="s">
        <v>53</v>
      </c>
      <c r="B14" s="2" t="s">
        <v>51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</row>
    <row r="16" spans="1:12" x14ac:dyDescent="0.35">
      <c r="A16" s="17" t="s">
        <v>54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35">
      <c r="A17" s="6" t="s">
        <v>55</v>
      </c>
      <c r="B17" s="2" t="s">
        <v>45</v>
      </c>
      <c r="C17" s="15">
        <v>0.16710130917320501</v>
      </c>
    </row>
    <row r="18" spans="1:12" x14ac:dyDescent="0.35">
      <c r="A18" s="6" t="s">
        <v>56</v>
      </c>
      <c r="B18" s="2" t="s">
        <v>45</v>
      </c>
      <c r="C18" s="15">
        <v>8.3241533838417897E-2</v>
      </c>
    </row>
    <row r="19" spans="1:12" x14ac:dyDescent="0.35">
      <c r="A19" s="6" t="s">
        <v>57</v>
      </c>
      <c r="B19" s="2" t="s">
        <v>45</v>
      </c>
      <c r="C19" s="15">
        <v>0.216459462092429</v>
      </c>
    </row>
    <row r="20" spans="1:12" x14ac:dyDescent="0.35">
      <c r="A20" s="6" t="s">
        <v>58</v>
      </c>
      <c r="B20" s="2" t="s">
        <v>42</v>
      </c>
      <c r="C20" s="14">
        <v>4.4666080171358633E-2</v>
      </c>
    </row>
    <row r="21" spans="1:12" x14ac:dyDescent="0.35">
      <c r="A21" s="6" t="s">
        <v>59</v>
      </c>
      <c r="B21" s="2" t="s">
        <v>42</v>
      </c>
      <c r="C21" s="14">
        <v>0.03</v>
      </c>
    </row>
    <row r="22" spans="1:12" x14ac:dyDescent="0.35">
      <c r="A22" s="6" t="s">
        <v>60</v>
      </c>
      <c r="B22" s="2" t="s">
        <v>51</v>
      </c>
      <c r="C22" s="16">
        <v>328.66666666666669</v>
      </c>
    </row>
    <row r="23" spans="1:12" x14ac:dyDescent="0.35">
      <c r="A23" s="6" t="s">
        <v>61</v>
      </c>
      <c r="B23" s="2" t="s">
        <v>45</v>
      </c>
      <c r="C23" s="15">
        <v>0.09</v>
      </c>
    </row>
    <row r="24" spans="1:12" x14ac:dyDescent="0.35">
      <c r="A24" s="6" t="s">
        <v>62</v>
      </c>
      <c r="B24" s="2" t="s">
        <v>63</v>
      </c>
      <c r="C24" s="19">
        <v>1</v>
      </c>
    </row>
    <row r="26" spans="1:12" x14ac:dyDescent="0.35">
      <c r="A26" s="17" t="s">
        <v>64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x14ac:dyDescent="0.35">
      <c r="A27" s="6" t="s">
        <v>65</v>
      </c>
      <c r="B27" s="2" t="s">
        <v>42</v>
      </c>
      <c r="C27" s="14">
        <v>4.8206905944952888E-2</v>
      </c>
    </row>
    <row r="28" spans="1:12" x14ac:dyDescent="0.35">
      <c r="A28" s="6" t="s">
        <v>66</v>
      </c>
      <c r="B28" s="2" t="s">
        <v>42</v>
      </c>
      <c r="C28" s="20">
        <v>0.05</v>
      </c>
    </row>
    <row r="29" spans="1:12" x14ac:dyDescent="0.35">
      <c r="A29" s="6" t="s">
        <v>67</v>
      </c>
      <c r="B29" s="2" t="s">
        <v>68</v>
      </c>
      <c r="C29" s="21">
        <v>0.97199999999999998</v>
      </c>
    </row>
    <row r="30" spans="1:12" x14ac:dyDescent="0.35">
      <c r="A30" s="6" t="s">
        <v>69</v>
      </c>
      <c r="B30" s="2" t="s">
        <v>42</v>
      </c>
      <c r="C30" s="14">
        <v>8.9999999999999993E-3</v>
      </c>
    </row>
    <row r="31" spans="1:12" x14ac:dyDescent="0.35">
      <c r="A31" s="6" t="s">
        <v>70</v>
      </c>
      <c r="B31" s="2" t="s">
        <v>42</v>
      </c>
      <c r="C31" s="15">
        <v>0.25</v>
      </c>
    </row>
    <row r="32" spans="1:12" x14ac:dyDescent="0.35">
      <c r="A32" s="6" t="s">
        <v>71</v>
      </c>
      <c r="B32" s="2" t="s">
        <v>42</v>
      </c>
      <c r="C32" s="20">
        <v>1.4999999999999999E-2</v>
      </c>
    </row>
    <row r="33" spans="1:3" x14ac:dyDescent="0.35">
      <c r="A33" s="6" t="s">
        <v>72</v>
      </c>
      <c r="B33" s="2" t="s">
        <v>68</v>
      </c>
      <c r="C33" s="22">
        <v>5</v>
      </c>
    </row>
    <row r="34" spans="1:3" x14ac:dyDescent="0.35">
      <c r="A34" s="6" t="s">
        <v>73</v>
      </c>
      <c r="B34" s="2" t="s">
        <v>74</v>
      </c>
      <c r="C34" s="23">
        <v>5691.4747079999997</v>
      </c>
    </row>
    <row r="35" spans="1:3" x14ac:dyDescent="0.35">
      <c r="A35" s="6" t="s">
        <v>75</v>
      </c>
      <c r="B35" s="2" t="s">
        <v>76</v>
      </c>
      <c r="C35" s="23">
        <v>3836</v>
      </c>
    </row>
    <row r="36" spans="1:3" x14ac:dyDescent="0.35">
      <c r="A36" s="6" t="s">
        <v>77</v>
      </c>
      <c r="B36" s="2" t="s">
        <v>78</v>
      </c>
      <c r="C36" s="24">
        <v>1.3207945823669429</v>
      </c>
    </row>
    <row r="37" spans="1:3" x14ac:dyDescent="0.35">
      <c r="A37" s="6" t="s">
        <v>79</v>
      </c>
      <c r="B37" s="2" t="s">
        <v>80</v>
      </c>
      <c r="C37" s="25">
        <v>46305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0" customWidth="1"/>
    <col min="2" max="13" width="11" customWidth="1"/>
  </cols>
  <sheetData>
    <row r="1" spans="1:12" ht="20" x14ac:dyDescent="0.4">
      <c r="A1" s="10" t="s">
        <v>81</v>
      </c>
    </row>
    <row r="2" spans="1:12" x14ac:dyDescent="0.35">
      <c r="A2" s="2" t="s">
        <v>82</v>
      </c>
    </row>
    <row r="4" spans="1:12" x14ac:dyDescent="0.35">
      <c r="A4" s="11"/>
      <c r="B4" s="12" t="s">
        <v>83</v>
      </c>
      <c r="C4" s="12" t="s">
        <v>84</v>
      </c>
      <c r="D4" s="12" t="s">
        <v>85</v>
      </c>
      <c r="E4" s="12" t="s">
        <v>86</v>
      </c>
      <c r="F4" s="12" t="s">
        <v>87</v>
      </c>
      <c r="G4" s="12" t="s">
        <v>88</v>
      </c>
      <c r="H4" s="12" t="s">
        <v>89</v>
      </c>
      <c r="I4" s="12" t="s">
        <v>90</v>
      </c>
      <c r="J4" s="12" t="s">
        <v>91</v>
      </c>
      <c r="K4" s="12" t="s">
        <v>92</v>
      </c>
      <c r="L4" s="12" t="s">
        <v>93</v>
      </c>
    </row>
    <row r="5" spans="1:12" x14ac:dyDescent="0.35">
      <c r="A5" s="17" t="s">
        <v>94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x14ac:dyDescent="0.35">
      <c r="A6" s="26" t="s">
        <v>95</v>
      </c>
      <c r="B6" s="27">
        <f>History!$F$5</f>
        <v>266886</v>
      </c>
      <c r="C6" s="28">
        <f>B6*(1+Inputs!C$5)</f>
        <v>264217.14</v>
      </c>
      <c r="D6" s="28">
        <f>C6*(1+Inputs!D$5)</f>
        <v>266859.31140000001</v>
      </c>
      <c r="E6" s="28">
        <f>D6*(1+Inputs!E$5)</f>
        <v>272196.49762799998</v>
      </c>
      <c r="F6" s="28">
        <f>E6*(1+Inputs!F$5)</f>
        <v>277640.42758055998</v>
      </c>
      <c r="G6" s="28">
        <f>F6*(1+Inputs!G$5)</f>
        <v>283193.23613217118</v>
      </c>
      <c r="H6" s="28">
        <f>G6*(1+Inputs!H$5)</f>
        <v>288573.90761868242</v>
      </c>
      <c r="I6" s="28">
        <f>H6*(1+Inputs!I$5)</f>
        <v>293768.23795581871</v>
      </c>
      <c r="J6" s="28">
        <f>I6*(1+Inputs!J$5)</f>
        <v>298762.2980010676</v>
      </c>
      <c r="K6" s="28">
        <f>J6*(1+Inputs!K$5)</f>
        <v>303542.49476908467</v>
      </c>
      <c r="L6" s="28">
        <f>K6*(1+Inputs!L$5)</f>
        <v>308095.63219062093</v>
      </c>
    </row>
    <row r="7" spans="1:12" x14ac:dyDescent="0.35">
      <c r="A7" s="6" t="s">
        <v>96</v>
      </c>
      <c r="C7" s="28">
        <f>C6*Inputs!C$6</f>
        <v>28902.668745071034</v>
      </c>
      <c r="D7" s="28">
        <f>D6*Inputs!D$6</f>
        <v>29191.695432521745</v>
      </c>
      <c r="E7" s="28">
        <f>E6*Inputs!E$6</f>
        <v>29775.529341172176</v>
      </c>
      <c r="F7" s="28">
        <f>F6*Inputs!F$6</f>
        <v>30371.039927995618</v>
      </c>
      <c r="G7" s="28">
        <f>G6*Inputs!G$6</f>
        <v>30978.460726555531</v>
      </c>
      <c r="H7" s="28">
        <f>H6*Inputs!H$6</f>
        <v>31567.051480360085</v>
      </c>
      <c r="I7" s="28">
        <f>I6*Inputs!I$6</f>
        <v>32135.258407006568</v>
      </c>
      <c r="J7" s="28">
        <f>J6*Inputs!J$6</f>
        <v>32681.557799925678</v>
      </c>
      <c r="K7" s="28">
        <f>K6*Inputs!K$6</f>
        <v>33204.462724724486</v>
      </c>
      <c r="L7" s="28">
        <f>L6*Inputs!L$6</f>
        <v>33702.529665595357</v>
      </c>
    </row>
    <row r="8" spans="1:12" x14ac:dyDescent="0.35">
      <c r="A8" s="6" t="s">
        <v>97</v>
      </c>
      <c r="C8" s="28">
        <f>C6*Inputs!C$7</f>
        <v>21944.34</v>
      </c>
      <c r="D8" s="28">
        <f>D6*Inputs!D$7</f>
        <v>22163.7834</v>
      </c>
      <c r="E8" s="28">
        <f>E6*Inputs!E$7</f>
        <v>22607.059067999999</v>
      </c>
      <c r="F8" s="28">
        <f>F6*Inputs!F$7</f>
        <v>23059.200249359998</v>
      </c>
      <c r="G8" s="28">
        <f>G6*Inputs!G$7</f>
        <v>23520.384254347198</v>
      </c>
      <c r="H8" s="28">
        <f>H6*Inputs!H$7</f>
        <v>23967.271555179796</v>
      </c>
      <c r="I8" s="28">
        <f>I6*Inputs!I$7</f>
        <v>24398.682443173031</v>
      </c>
      <c r="J8" s="28">
        <f>J6*Inputs!J$7</f>
        <v>24813.460044706968</v>
      </c>
      <c r="K8" s="28">
        <f>K6*Inputs!K$7</f>
        <v>25210.475405422279</v>
      </c>
      <c r="L8" s="28">
        <f>L6*Inputs!L$7</f>
        <v>25588.632536503614</v>
      </c>
    </row>
    <row r="9" spans="1:12" x14ac:dyDescent="0.35">
      <c r="A9" s="26" t="s">
        <v>98</v>
      </c>
      <c r="C9" s="28">
        <f t="shared" ref="C9:L9" si="0">C7+C8</f>
        <v>50847.008745071034</v>
      </c>
      <c r="D9" s="28">
        <f t="shared" si="0"/>
        <v>51355.478832521745</v>
      </c>
      <c r="E9" s="28">
        <f t="shared" si="0"/>
        <v>52382.588409172175</v>
      </c>
      <c r="F9" s="28">
        <f t="shared" si="0"/>
        <v>53430.240177355619</v>
      </c>
      <c r="G9" s="28">
        <f t="shared" si="0"/>
        <v>54498.84498090273</v>
      </c>
      <c r="H9" s="28">
        <f t="shared" si="0"/>
        <v>55534.323035539885</v>
      </c>
      <c r="I9" s="28">
        <f t="shared" si="0"/>
        <v>56533.940850179599</v>
      </c>
      <c r="J9" s="28">
        <f t="shared" si="0"/>
        <v>57495.017844632646</v>
      </c>
      <c r="K9" s="28">
        <f t="shared" si="0"/>
        <v>58414.938130146766</v>
      </c>
      <c r="L9" s="28">
        <f t="shared" si="0"/>
        <v>59291.162202098974</v>
      </c>
    </row>
    <row r="10" spans="1:12" x14ac:dyDescent="0.35">
      <c r="A10" s="6" t="s">
        <v>99</v>
      </c>
      <c r="C10" s="28">
        <f ca="1">IFERROR(Inputs!$C$20*(IF(Inputs!$C$24=1,((B46+B47)+(B46+B47+Inputs!C$14+C33-C34))/2,(B46+B47))+B48),0)</f>
        <v>4671</v>
      </c>
      <c r="D10" s="28">
        <f ca="1">IFERROR(Inputs!$C$20*(IF(Inputs!$C$24=1,((C46+C47)+(C46+C47+Inputs!D$14+D33-D34))/2,(C46+C47))+C48),0)</f>
        <v>4671</v>
      </c>
      <c r="E10" s="28">
        <f ca="1">IFERROR(Inputs!$C$20*(IF(Inputs!$C$24=1,((D46+D47)+(D46+D47+Inputs!E$14+E33-E34))/2,(D46+D47))+D48),0)</f>
        <v>4671</v>
      </c>
      <c r="F10" s="28">
        <f ca="1">IFERROR(Inputs!$C$20*(IF(Inputs!$C$24=1,((E46+E47)+(E46+E47+Inputs!F$14+F33-F34))/2,(E46+E47))+E48),0)</f>
        <v>4671</v>
      </c>
      <c r="G10" s="28">
        <f ca="1">IFERROR(Inputs!$C$20*(IF(Inputs!$C$24=1,((F46+F47)+(F46+F47+Inputs!G$14+G33-G34))/2,(F46+F47))+F48),0)</f>
        <v>4671</v>
      </c>
      <c r="H10" s="28">
        <f ca="1">IFERROR(Inputs!$C$20*(IF(Inputs!$C$24=1,((G46+G47)+(G46+G47+Inputs!H$14+H33-H34))/2,(G46+G47))+G48),0)</f>
        <v>4671</v>
      </c>
      <c r="I10" s="28">
        <f ca="1">IFERROR(Inputs!$C$20*(IF(Inputs!$C$24=1,((H46+H47)+(H46+H47+Inputs!I$14+I33-I34))/2,(H46+H47))+H48),0)</f>
        <v>4671</v>
      </c>
      <c r="J10" s="28">
        <f ca="1">IFERROR(Inputs!$C$20*(IF(Inputs!$C$24=1,((I46+I47)+(I46+I47+Inputs!J$14+J33-J34))/2,(I46+I47))+I48),0)</f>
        <v>4671</v>
      </c>
      <c r="K10" s="28">
        <f ca="1">IFERROR(Inputs!$C$20*(IF(Inputs!$C$24=1,((J46+J47)+(J46+J47+Inputs!K$14+K33-K34))/2,(J46+J47))+J48),0)</f>
        <v>4671</v>
      </c>
      <c r="L10" s="28">
        <f ca="1">IFERROR(Inputs!$C$20*(IF(Inputs!$C$24=1,((K46+K47)+(K46+K47+Inputs!L$14+L33-L34))/2,(K46+K47))+K48),0)</f>
        <v>4671</v>
      </c>
    </row>
    <row r="11" spans="1:12" x14ac:dyDescent="0.35">
      <c r="A11" s="6" t="s">
        <v>100</v>
      </c>
      <c r="C11" s="28">
        <f ca="1">IFERROR(Inputs!$C$21*IF(Inputs!$C$24=1,(B41+C41)/2,B41),0)</f>
        <v>809.93313899999998</v>
      </c>
      <c r="D11" s="28">
        <f ca="1">IFERROR(Inputs!$C$21*IF(Inputs!$C$24=1,(C41+D41)/2,C41),0)</f>
        <v>716.95320938999998</v>
      </c>
      <c r="E11" s="28">
        <f ca="1">IFERROR(Inputs!$C$21*IF(Inputs!$C$24=1,(D41+E41)/2,D41),0)</f>
        <v>727.72534218779981</v>
      </c>
      <c r="F11" s="28">
        <f ca="1">IFERROR(Inputs!$C$21*IF(Inputs!$C$24=1,(E41+F41)/2,E41),0)</f>
        <v>742.27984903155573</v>
      </c>
      <c r="G11" s="28">
        <f ca="1">IFERROR(Inputs!$C$21*IF(Inputs!$C$24=1,(F41+G41)/2,F41),0)</f>
        <v>757.12544601218701</v>
      </c>
      <c r="H11" s="28">
        <f ca="1">IFERROR(Inputs!$C$21*IF(Inputs!$C$24=1,(G41+H41)/2,G41),0)</f>
        <v>771.88564406365197</v>
      </c>
      <c r="I11" s="28">
        <f ca="1">IFERROR(Inputs!$C$21*IF(Inputs!$C$24=1,(H41+I41)/2,H41),0)</f>
        <v>786.16189652557625</v>
      </c>
      <c r="J11" s="28">
        <f ca="1">IFERROR(Inputs!$C$21*IF(Inputs!$C$24=1,(I41+J41)/2,I41),0)</f>
        <v>799.9162235417964</v>
      </c>
      <c r="K11" s="28">
        <f ca="1">IFERROR(Inputs!$C$21*IF(Inputs!$C$24=1,(J41+K41)/2,J41),0)</f>
        <v>813.11147023970523</v>
      </c>
      <c r="L11" s="28">
        <f ca="1">IFERROR(Inputs!$C$21*IF(Inputs!$C$24=1,(K41+L41)/2,K41),0)</f>
        <v>825.71147139560242</v>
      </c>
    </row>
    <row r="12" spans="1:12" x14ac:dyDescent="0.35">
      <c r="A12" s="6" t="s">
        <v>101</v>
      </c>
      <c r="C12" s="28">
        <f t="shared" ref="C12:L12" ca="1" si="1">C7-C10+C11</f>
        <v>25041.601884071035</v>
      </c>
      <c r="D12" s="28">
        <f t="shared" ca="1" si="1"/>
        <v>25237.648641911746</v>
      </c>
      <c r="E12" s="28">
        <f t="shared" ca="1" si="1"/>
        <v>25832.254683359977</v>
      </c>
      <c r="F12" s="28">
        <f t="shared" ca="1" si="1"/>
        <v>26442.319777027173</v>
      </c>
      <c r="G12" s="28">
        <f t="shared" ca="1" si="1"/>
        <v>27064.586172567717</v>
      </c>
      <c r="H12" s="28">
        <f t="shared" ca="1" si="1"/>
        <v>27667.937124423737</v>
      </c>
      <c r="I12" s="28">
        <f t="shared" ca="1" si="1"/>
        <v>28250.420303532144</v>
      </c>
      <c r="J12" s="28">
        <f t="shared" ca="1" si="1"/>
        <v>28810.474023467475</v>
      </c>
      <c r="K12" s="28">
        <f t="shared" ca="1" si="1"/>
        <v>29346.574194964192</v>
      </c>
      <c r="L12" s="28">
        <f t="shared" ca="1" si="1"/>
        <v>29857.241136990961</v>
      </c>
    </row>
    <row r="13" spans="1:12" x14ac:dyDescent="0.35">
      <c r="A13" s="6" t="s">
        <v>102</v>
      </c>
      <c r="C13" s="28">
        <f ca="1">C12*Inputs!C$10</f>
        <v>9627.21401322167</v>
      </c>
      <c r="D13" s="28">
        <f ca="1">D12*Inputs!D$10</f>
        <v>9632.4793761696055</v>
      </c>
      <c r="E13" s="28">
        <f ca="1">E12*Inputs!E$10</f>
        <v>9787.6670140149799</v>
      </c>
      <c r="F13" s="28">
        <f ca="1">F12*Inputs!F$10</f>
        <v>9945.3656737380607</v>
      </c>
      <c r="G13" s="28">
        <f ca="1">G12*Inputs!G$10</f>
        <v>10104.230288890212</v>
      </c>
      <c r="H13" s="28">
        <f ca="1">H12*Inputs!H$10</f>
        <v>10252.628563215936</v>
      </c>
      <c r="I13" s="28">
        <f ca="1">I12*Inputs!I$10</f>
        <v>10390.000093647755</v>
      </c>
      <c r="J13" s="28">
        <f ca="1">J12*Inputs!J$10</f>
        <v>10515.948755930942</v>
      </c>
      <c r="K13" s="28">
        <f ca="1">K12*Inputs!K$10</f>
        <v>10630.109396573074</v>
      </c>
      <c r="L13" s="28">
        <f ca="1">L12*Inputs!L$10</f>
        <v>10732.14975889378</v>
      </c>
    </row>
    <row r="14" spans="1:12" x14ac:dyDescent="0.35">
      <c r="A14" s="6" t="s">
        <v>49</v>
      </c>
      <c r="C14" s="28">
        <f>C6*Inputs!C$11</f>
        <v>2497.2546917181012</v>
      </c>
      <c r="D14" s="28">
        <f>D6*Inputs!D$11</f>
        <v>2522.2272386352824</v>
      </c>
      <c r="E14" s="28">
        <f>E6*Inputs!E$11</f>
        <v>2572.6717834079877</v>
      </c>
      <c r="F14" s="28">
        <f>F6*Inputs!F$11</f>
        <v>2624.1252190761475</v>
      </c>
      <c r="G14" s="28">
        <f>G6*Inputs!G$11</f>
        <v>2676.6077234576705</v>
      </c>
      <c r="H14" s="28">
        <f>H6*Inputs!H$11</f>
        <v>2727.4632702033659</v>
      </c>
      <c r="I14" s="28">
        <f>I6*Inputs!I$11</f>
        <v>2776.5576090670265</v>
      </c>
      <c r="J14" s="28">
        <f>J6*Inputs!J$11</f>
        <v>2823.7590884211659</v>
      </c>
      <c r="K14" s="28">
        <f>K6*Inputs!K$11</f>
        <v>2868.9392338359044</v>
      </c>
      <c r="L14" s="28">
        <f>L6*Inputs!L$11</f>
        <v>2911.9733223434428</v>
      </c>
    </row>
    <row r="15" spans="1:12" x14ac:dyDescent="0.35">
      <c r="A15" s="26" t="s">
        <v>103</v>
      </c>
      <c r="C15" s="28">
        <f t="shared" ref="C15:L15" ca="1" si="2">C12-C13+C14</f>
        <v>17911.642562567467</v>
      </c>
      <c r="D15" s="28">
        <f t="shared" ca="1" si="2"/>
        <v>18127.396504377422</v>
      </c>
      <c r="E15" s="28">
        <f t="shared" ca="1" si="2"/>
        <v>18617.259452752984</v>
      </c>
      <c r="F15" s="28">
        <f t="shared" ca="1" si="2"/>
        <v>19121.079322365262</v>
      </c>
      <c r="G15" s="28">
        <f t="shared" ca="1" si="2"/>
        <v>19636.963607135174</v>
      </c>
      <c r="H15" s="28">
        <f t="shared" ca="1" si="2"/>
        <v>20142.771831411166</v>
      </c>
      <c r="I15" s="28">
        <f t="shared" ca="1" si="2"/>
        <v>20636.977818951415</v>
      </c>
      <c r="J15" s="28">
        <f t="shared" ca="1" si="2"/>
        <v>21118.284355957701</v>
      </c>
      <c r="K15" s="28">
        <f t="shared" ca="1" si="2"/>
        <v>21585.404032227023</v>
      </c>
      <c r="L15" s="28">
        <f t="shared" ca="1" si="2"/>
        <v>22037.064700440624</v>
      </c>
    </row>
    <row r="16" spans="1:12" x14ac:dyDescent="0.35">
      <c r="A16" s="6" t="s">
        <v>104</v>
      </c>
      <c r="C16" s="28">
        <f>Inputs!$C$22</f>
        <v>328.66666666666669</v>
      </c>
      <c r="D16" s="28">
        <f>Inputs!$C$22</f>
        <v>328.66666666666669</v>
      </c>
      <c r="E16" s="28">
        <f>Inputs!$C$22</f>
        <v>328.66666666666669</v>
      </c>
      <c r="F16" s="28">
        <f>Inputs!$C$22</f>
        <v>328.66666666666669</v>
      </c>
      <c r="G16" s="28">
        <f>Inputs!$C$22</f>
        <v>328.66666666666669</v>
      </c>
      <c r="H16" s="28">
        <f>Inputs!$C$22</f>
        <v>328.66666666666669</v>
      </c>
      <c r="I16" s="28">
        <f>Inputs!$C$22</f>
        <v>328.66666666666669</v>
      </c>
      <c r="J16" s="28">
        <f>Inputs!$C$22</f>
        <v>328.66666666666669</v>
      </c>
      <c r="K16" s="28">
        <f>Inputs!$C$22</f>
        <v>328.66666666666669</v>
      </c>
      <c r="L16" s="28">
        <f>Inputs!$C$22</f>
        <v>328.66666666666669</v>
      </c>
    </row>
    <row r="17" spans="1:12" x14ac:dyDescent="0.35">
      <c r="A17" s="6" t="s">
        <v>105</v>
      </c>
      <c r="C17" s="28">
        <f t="shared" ref="C17:L17" ca="1" si="3">C15-C16</f>
        <v>17582.9758959008</v>
      </c>
      <c r="D17" s="28">
        <f t="shared" ca="1" si="3"/>
        <v>17798.729837710755</v>
      </c>
      <c r="E17" s="28">
        <f t="shared" ca="1" si="3"/>
        <v>18288.592786086316</v>
      </c>
      <c r="F17" s="28">
        <f t="shared" ca="1" si="3"/>
        <v>18792.412655698594</v>
      </c>
      <c r="G17" s="28">
        <f t="shared" ca="1" si="3"/>
        <v>19308.296940468506</v>
      </c>
      <c r="H17" s="28">
        <f t="shared" ca="1" si="3"/>
        <v>19814.105164744498</v>
      </c>
      <c r="I17" s="28">
        <f t="shared" ca="1" si="3"/>
        <v>20308.311152284747</v>
      </c>
      <c r="J17" s="28">
        <f t="shared" ca="1" si="3"/>
        <v>20789.617689291033</v>
      </c>
      <c r="K17" s="28">
        <f t="shared" ca="1" si="3"/>
        <v>21256.737365560355</v>
      </c>
      <c r="L17" s="28">
        <f t="shared" ca="1" si="3"/>
        <v>21708.398033773956</v>
      </c>
    </row>
    <row r="19" spans="1:12" x14ac:dyDescent="0.35">
      <c r="A19" s="17" t="s">
        <v>106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x14ac:dyDescent="0.35">
      <c r="A20" s="6" t="s">
        <v>55</v>
      </c>
      <c r="B20" s="27">
        <f>History!$F$22</f>
        <v>44597</v>
      </c>
      <c r="C20" s="28">
        <f>C6*Inputs!$C$17</f>
        <v>44151.029999999992</v>
      </c>
      <c r="D20" s="28">
        <f>D6*Inputs!$C$17</f>
        <v>44592.540299999993</v>
      </c>
      <c r="E20" s="28">
        <f>E6*Inputs!$C$17</f>
        <v>45484.391105999988</v>
      </c>
      <c r="F20" s="28">
        <f>F6*Inputs!$C$17</f>
        <v>46394.07892811999</v>
      </c>
      <c r="G20" s="28">
        <f>G6*Inputs!$C$17</f>
        <v>47321.960506682386</v>
      </c>
      <c r="H20" s="28">
        <f>H6*Inputs!$C$17</f>
        <v>48221.077756309351</v>
      </c>
      <c r="I20" s="28">
        <f>I6*Inputs!$C$17</f>
        <v>49089.057155922921</v>
      </c>
      <c r="J20" s="28">
        <f>J6*Inputs!$C$17</f>
        <v>49923.571127573603</v>
      </c>
      <c r="K20" s="28">
        <f>K6*Inputs!$C$17</f>
        <v>50722.348265614783</v>
      </c>
      <c r="L20" s="28">
        <f>L6*Inputs!$C$17</f>
        <v>51483.183489599003</v>
      </c>
    </row>
    <row r="21" spans="1:12" x14ac:dyDescent="0.35">
      <c r="A21" s="6" t="s">
        <v>56</v>
      </c>
      <c r="B21" s="27">
        <f>History!$F$21</f>
        <v>22216</v>
      </c>
      <c r="C21" s="28">
        <f>C6*Inputs!$C$18</f>
        <v>21993.84</v>
      </c>
      <c r="D21" s="28">
        <f>D6*Inputs!$C$18</f>
        <v>22213.778399999999</v>
      </c>
      <c r="E21" s="28">
        <f>E6*Inputs!$C$18</f>
        <v>22658.053967999997</v>
      </c>
      <c r="F21" s="28">
        <f>F6*Inputs!$C$18</f>
        <v>23111.215047359998</v>
      </c>
      <c r="G21" s="28">
        <f>G6*Inputs!$C$18</f>
        <v>23573.439348307198</v>
      </c>
      <c r="H21" s="28">
        <f>H6*Inputs!$C$18</f>
        <v>24021.334695925034</v>
      </c>
      <c r="I21" s="28">
        <f>I6*Inputs!$C$18</f>
        <v>24453.718720451685</v>
      </c>
      <c r="J21" s="28">
        <f>J6*Inputs!$C$18</f>
        <v>24869.431938699359</v>
      </c>
      <c r="K21" s="28">
        <f>K6*Inputs!$C$18</f>
        <v>25267.342849718549</v>
      </c>
      <c r="L21" s="28">
        <f>L6*Inputs!$C$18</f>
        <v>25646.352992464326</v>
      </c>
    </row>
    <row r="22" spans="1:12" x14ac:dyDescent="0.35">
      <c r="A22" s="6" t="s">
        <v>57</v>
      </c>
      <c r="B22" s="27">
        <f>History!$F$28</f>
        <v>57770</v>
      </c>
      <c r="C22" s="28">
        <f>C6*Inputs!$C$19</f>
        <v>57192.30000000001</v>
      </c>
      <c r="D22" s="28">
        <f>D6*Inputs!$C$19</f>
        <v>57764.223000000005</v>
      </c>
      <c r="E22" s="28">
        <f>E6*Inputs!$C$19</f>
        <v>58919.507460000001</v>
      </c>
      <c r="F22" s="28">
        <f>F6*Inputs!$C$19</f>
        <v>60097.897609200001</v>
      </c>
      <c r="G22" s="28">
        <f>G6*Inputs!$C$19</f>
        <v>61299.855561384</v>
      </c>
      <c r="H22" s="28">
        <f>H6*Inputs!$C$19</f>
        <v>62464.552817050295</v>
      </c>
      <c r="I22" s="28">
        <f>I6*Inputs!$C$19</f>
        <v>63588.914767757204</v>
      </c>
      <c r="J22" s="28">
        <f>J6*Inputs!$C$19</f>
        <v>64669.92631880907</v>
      </c>
      <c r="K22" s="28">
        <f>K6*Inputs!$C$19</f>
        <v>65704.645139910019</v>
      </c>
      <c r="L22" s="28">
        <f>L6*Inputs!$C$19</f>
        <v>66690.214817008658</v>
      </c>
    </row>
    <row r="23" spans="1:12" x14ac:dyDescent="0.35">
      <c r="A23" s="6" t="s">
        <v>107</v>
      </c>
      <c r="C23" s="28">
        <f t="shared" ref="C23:L23" si="4">(C20-B20)+(C21-B21)-(C22-B22)</f>
        <v>-90.430000000018481</v>
      </c>
      <c r="D23" s="28">
        <f t="shared" si="4"/>
        <v>89.5257000000056</v>
      </c>
      <c r="E23" s="28">
        <f t="shared" si="4"/>
        <v>180.8419139999969</v>
      </c>
      <c r="F23" s="28">
        <f t="shared" si="4"/>
        <v>184.45875228000295</v>
      </c>
      <c r="G23" s="28">
        <f t="shared" si="4"/>
        <v>188.14792732559727</v>
      </c>
      <c r="H23" s="28">
        <f t="shared" si="4"/>
        <v>182.31534157850547</v>
      </c>
      <c r="I23" s="28">
        <f t="shared" si="4"/>
        <v>176.00147343331264</v>
      </c>
      <c r="J23" s="28">
        <f t="shared" si="4"/>
        <v>169.21563884649004</v>
      </c>
      <c r="K23" s="28">
        <f t="shared" si="4"/>
        <v>161.9692279594201</v>
      </c>
      <c r="L23" s="28">
        <f t="shared" si="4"/>
        <v>154.27568963135855</v>
      </c>
    </row>
    <row r="24" spans="1:12" x14ac:dyDescent="0.35">
      <c r="A24" s="6" t="s">
        <v>108</v>
      </c>
      <c r="C24" s="28">
        <f>C6*Inputs!$C$23</f>
        <v>23779.542600000001</v>
      </c>
      <c r="D24" s="28">
        <f>D6*Inputs!$C$23</f>
        <v>24017.338026000001</v>
      </c>
      <c r="E24" s="28">
        <f>E6*Inputs!$C$23</f>
        <v>24497.684786519996</v>
      </c>
      <c r="F24" s="28">
        <f>F6*Inputs!$C$23</f>
        <v>24987.638482250397</v>
      </c>
      <c r="G24" s="28">
        <f>G6*Inputs!$C$23</f>
        <v>25487.391251895406</v>
      </c>
      <c r="H24" s="28">
        <f>H6*Inputs!$C$23</f>
        <v>25971.651685681416</v>
      </c>
      <c r="I24" s="28">
        <f>I6*Inputs!$C$23</f>
        <v>26439.141416023682</v>
      </c>
      <c r="J24" s="28">
        <f>J6*Inputs!$C$23</f>
        <v>26888.606820096084</v>
      </c>
      <c r="K24" s="28">
        <f>K6*Inputs!$C$23</f>
        <v>27318.824529217618</v>
      </c>
      <c r="L24" s="28">
        <f>L6*Inputs!$C$23</f>
        <v>27728.606897155882</v>
      </c>
    </row>
    <row r="26" spans="1:12" x14ac:dyDescent="0.35">
      <c r="A26" s="17" t="s">
        <v>109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x14ac:dyDescent="0.35">
      <c r="A27" s="6" t="s">
        <v>110</v>
      </c>
      <c r="C27" s="28">
        <f t="shared" ref="C27:L27" ca="1" si="5">C15+C8-C23</f>
        <v>39946.412562567493</v>
      </c>
      <c r="D27" s="28">
        <f t="shared" ca="1" si="5"/>
        <v>40201.654204377417</v>
      </c>
      <c r="E27" s="28">
        <f t="shared" ca="1" si="5"/>
        <v>41043.476606752985</v>
      </c>
      <c r="F27" s="28">
        <f t="shared" ca="1" si="5"/>
        <v>41995.82081944526</v>
      </c>
      <c r="G27" s="28">
        <f t="shared" ca="1" si="5"/>
        <v>42969.199934156772</v>
      </c>
      <c r="H27" s="28">
        <f t="shared" ca="1" si="5"/>
        <v>43927.728045012453</v>
      </c>
      <c r="I27" s="28">
        <f t="shared" ca="1" si="5"/>
        <v>44859.658788691129</v>
      </c>
      <c r="J27" s="28">
        <f t="shared" ca="1" si="5"/>
        <v>45762.528761818176</v>
      </c>
      <c r="K27" s="28">
        <f t="shared" ca="1" si="5"/>
        <v>46633.910209689886</v>
      </c>
      <c r="L27" s="28">
        <f t="shared" ca="1" si="5"/>
        <v>47471.421547312879</v>
      </c>
    </row>
    <row r="28" spans="1:12" x14ac:dyDescent="0.35">
      <c r="A28" s="6" t="s">
        <v>46</v>
      </c>
      <c r="C28" s="28">
        <f>C6*Inputs!C$8</f>
        <v>18757.53</v>
      </c>
      <c r="D28" s="28">
        <f>D6*Inputs!D$8</f>
        <v>18945.105299999999</v>
      </c>
      <c r="E28" s="28">
        <f>E6*Inputs!E$8</f>
        <v>19324.007405999997</v>
      </c>
      <c r="F28" s="28">
        <f>F6*Inputs!F$8</f>
        <v>19710.487554119998</v>
      </c>
      <c r="G28" s="28">
        <f>G6*Inputs!G$8</f>
        <v>20104.697305202397</v>
      </c>
      <c r="H28" s="28">
        <f>H6*Inputs!H$8</f>
        <v>20486.68655400124</v>
      </c>
      <c r="I28" s="28">
        <f>I6*Inputs!I$8</f>
        <v>20855.446911973264</v>
      </c>
      <c r="J28" s="28">
        <f>J6*Inputs!J$8</f>
        <v>21209.989509476807</v>
      </c>
      <c r="K28" s="28">
        <f>K6*Inputs!K$8</f>
        <v>21549.349341628436</v>
      </c>
      <c r="L28" s="28">
        <f>L6*Inputs!L$8</f>
        <v>21872.589581752862</v>
      </c>
    </row>
    <row r="29" spans="1:12" x14ac:dyDescent="0.35">
      <c r="A29" s="6" t="s">
        <v>111</v>
      </c>
      <c r="C29" s="28">
        <f>C6*Inputs!C$9</f>
        <v>5208.3899999999985</v>
      </c>
      <c r="D29" s="28">
        <f>D6*Inputs!D$9</f>
        <v>5260.473899999999</v>
      </c>
      <c r="E29" s="28">
        <f>E6*Inputs!E$9</f>
        <v>5365.6833779999979</v>
      </c>
      <c r="F29" s="28">
        <f>F6*Inputs!F$9</f>
        <v>5472.9970455599978</v>
      </c>
      <c r="G29" s="28">
        <f>G6*Inputs!G$9</f>
        <v>5582.4569864711984</v>
      </c>
      <c r="H29" s="28">
        <f>H6*Inputs!H$9</f>
        <v>5688.5236692141507</v>
      </c>
      <c r="I29" s="28">
        <f>I6*Inputs!I$9</f>
        <v>5790.9170952600052</v>
      </c>
      <c r="J29" s="28">
        <f>J6*Inputs!J$9</f>
        <v>5889.362685879425</v>
      </c>
      <c r="K29" s="28">
        <f>K6*Inputs!K$9</f>
        <v>5983.5924888534955</v>
      </c>
      <c r="L29" s="28">
        <f>L6*Inputs!L$9</f>
        <v>6073.3463761862977</v>
      </c>
    </row>
    <row r="30" spans="1:12" x14ac:dyDescent="0.35">
      <c r="A30" s="6" t="s">
        <v>112</v>
      </c>
      <c r="C30" s="28">
        <f t="shared" ref="C30:L30" si="6">-C28</f>
        <v>-18757.53</v>
      </c>
      <c r="D30" s="28">
        <f t="shared" si="6"/>
        <v>-18945.105299999999</v>
      </c>
      <c r="E30" s="28">
        <f t="shared" si="6"/>
        <v>-19324.007405999997</v>
      </c>
      <c r="F30" s="28">
        <f t="shared" si="6"/>
        <v>-19710.487554119998</v>
      </c>
      <c r="G30" s="28">
        <f t="shared" si="6"/>
        <v>-20104.697305202397</v>
      </c>
      <c r="H30" s="28">
        <f t="shared" si="6"/>
        <v>-20486.68655400124</v>
      </c>
      <c r="I30" s="28">
        <f t="shared" si="6"/>
        <v>-20855.446911973264</v>
      </c>
      <c r="J30" s="28">
        <f t="shared" si="6"/>
        <v>-21209.989509476807</v>
      </c>
      <c r="K30" s="28">
        <f t="shared" si="6"/>
        <v>-21549.349341628436</v>
      </c>
      <c r="L30" s="28">
        <f t="shared" si="6"/>
        <v>-21872.589581752862</v>
      </c>
    </row>
    <row r="31" spans="1:12" x14ac:dyDescent="0.35">
      <c r="A31" s="6" t="s">
        <v>113</v>
      </c>
      <c r="C31" s="28">
        <f ca="1">B41+C27+C30+Inputs!C$14-C36-C16-C29</f>
        <v>36904.065895900829</v>
      </c>
      <c r="D31" s="28">
        <f ca="1">C41+D27+D30+Inputs!D$14-D36-D16-D29</f>
        <v>30124.640537710751</v>
      </c>
      <c r="E31" s="28">
        <f ca="1">D41+E27+E30+Inputs!E$14-E36-E16-E29</f>
        <v>30347.254366086327</v>
      </c>
      <c r="F31" s="28">
        <f ca="1">E41+F27+F30+Inputs!F$14-F36-F16-F29</f>
        <v>30898.343410978581</v>
      </c>
      <c r="G31" s="28">
        <f ca="1">F41+G27+G30+Inputs!G$14-G36-G16-G29</f>
        <v>31454.686092281318</v>
      </c>
      <c r="H31" s="28">
        <f ca="1">G41+H27+H30+Inputs!H$14-H36-H16-H29</f>
        <v>32162.752757095561</v>
      </c>
      <c r="I31" s="28">
        <f ca="1">H41+I27+I30+Inputs!I$14-I36-I16-I29</f>
        <v>32839.077909294094</v>
      </c>
      <c r="J31" s="28">
        <f ca="1">I41+J27+J30+Inputs!J$14-J36-J16-J29</f>
        <v>33481.019377361008</v>
      </c>
      <c r="K31" s="28">
        <f ca="1">J41+K27+K30+Inputs!K$14-K36-K16-K29</f>
        <v>34085.960795717969</v>
      </c>
      <c r="L31" s="28">
        <f ca="1">K41+L27+L30+Inputs!L$14-L36-L16-L29</f>
        <v>34651.322021582273</v>
      </c>
    </row>
    <row r="32" spans="1:12" x14ac:dyDescent="0.35">
      <c r="A32" s="6" t="s">
        <v>114</v>
      </c>
      <c r="C32" s="28">
        <f t="shared" ref="C32:L32" ca="1" si="7">C31-C24</f>
        <v>13124.523295900828</v>
      </c>
      <c r="D32" s="28">
        <f t="shared" ca="1" si="7"/>
        <v>6107.30251171075</v>
      </c>
      <c r="E32" s="28">
        <f t="shared" ca="1" si="7"/>
        <v>5849.5695795663305</v>
      </c>
      <c r="F32" s="28">
        <f t="shared" ca="1" si="7"/>
        <v>5910.7049287281843</v>
      </c>
      <c r="G32" s="28">
        <f t="shared" ca="1" si="7"/>
        <v>5967.2948403859118</v>
      </c>
      <c r="H32" s="28">
        <f t="shared" ca="1" si="7"/>
        <v>6191.1010714141448</v>
      </c>
      <c r="I32" s="28">
        <f t="shared" ca="1" si="7"/>
        <v>6399.936493270412</v>
      </c>
      <c r="J32" s="28">
        <f t="shared" ca="1" si="7"/>
        <v>6592.4125572649245</v>
      </c>
      <c r="K32" s="28">
        <f t="shared" ca="1" si="7"/>
        <v>6767.1362665003508</v>
      </c>
      <c r="L32" s="28">
        <f t="shared" ca="1" si="7"/>
        <v>6922.7151244263914</v>
      </c>
    </row>
    <row r="33" spans="1:12" x14ac:dyDescent="0.35">
      <c r="A33" s="6" t="s">
        <v>115</v>
      </c>
      <c r="C33" s="28">
        <f t="shared" ref="C33:L33" ca="1" si="8">MAX(0,-C32)</f>
        <v>0</v>
      </c>
      <c r="D33" s="28">
        <f t="shared" ca="1" si="8"/>
        <v>0</v>
      </c>
      <c r="E33" s="28">
        <f t="shared" ca="1" si="8"/>
        <v>0</v>
      </c>
      <c r="F33" s="28">
        <f t="shared" ca="1" si="8"/>
        <v>0</v>
      </c>
      <c r="G33" s="28">
        <f t="shared" ca="1" si="8"/>
        <v>0</v>
      </c>
      <c r="H33" s="28">
        <f t="shared" ca="1" si="8"/>
        <v>0</v>
      </c>
      <c r="I33" s="28">
        <f t="shared" ca="1" si="8"/>
        <v>0</v>
      </c>
      <c r="J33" s="28">
        <f t="shared" ca="1" si="8"/>
        <v>0</v>
      </c>
      <c r="K33" s="28">
        <f t="shared" ca="1" si="8"/>
        <v>0</v>
      </c>
      <c r="L33" s="28">
        <f t="shared" ca="1" si="8"/>
        <v>0</v>
      </c>
    </row>
    <row r="34" spans="1:12" x14ac:dyDescent="0.35">
      <c r="A34" s="6" t="s">
        <v>116</v>
      </c>
      <c r="C34" s="28">
        <f t="shared" ref="C34:L34" ca="1" si="9">MIN(B47,MAX(0,C32))</f>
        <v>0</v>
      </c>
      <c r="D34" s="28">
        <f t="shared" ca="1" si="9"/>
        <v>0</v>
      </c>
      <c r="E34" s="28">
        <f t="shared" ca="1" si="9"/>
        <v>0</v>
      </c>
      <c r="F34" s="28">
        <f t="shared" ca="1" si="9"/>
        <v>0</v>
      </c>
      <c r="G34" s="28">
        <f t="shared" ca="1" si="9"/>
        <v>0</v>
      </c>
      <c r="H34" s="28">
        <f t="shared" ca="1" si="9"/>
        <v>0</v>
      </c>
      <c r="I34" s="28">
        <f t="shared" ca="1" si="9"/>
        <v>0</v>
      </c>
      <c r="J34" s="28">
        <f t="shared" ca="1" si="9"/>
        <v>0</v>
      </c>
      <c r="K34" s="28">
        <f t="shared" ca="1" si="9"/>
        <v>0</v>
      </c>
      <c r="L34" s="28">
        <f t="shared" ca="1" si="9"/>
        <v>0</v>
      </c>
    </row>
    <row r="35" spans="1:12" x14ac:dyDescent="0.35">
      <c r="A35" s="6" t="s">
        <v>117</v>
      </c>
      <c r="C35" s="28">
        <f ca="1">MAX(0,MIN(Inputs!C$13,C32-C34))</f>
        <v>13124.523295900828</v>
      </c>
      <c r="D35" s="28">
        <f ca="1">MAX(0,MIN(Inputs!D$13,D32-D34))</f>
        <v>6107.30251171075</v>
      </c>
      <c r="E35" s="28">
        <f ca="1">MAX(0,MIN(Inputs!E$13,E32-E34))</f>
        <v>5849.5695795663305</v>
      </c>
      <c r="F35" s="28">
        <f ca="1">MAX(0,MIN(Inputs!F$13,F32-F34))</f>
        <v>5910.7049287281843</v>
      </c>
      <c r="G35" s="28">
        <f ca="1">MAX(0,MIN(Inputs!G$13,G32-G34))</f>
        <v>5967.2948403859118</v>
      </c>
      <c r="H35" s="28">
        <f ca="1">MAX(0,MIN(Inputs!H$13,H32-H34))</f>
        <v>6191.1010714141448</v>
      </c>
      <c r="I35" s="28">
        <f ca="1">MAX(0,MIN(Inputs!I$13,I32-I34))</f>
        <v>6399.936493270412</v>
      </c>
      <c r="J35" s="28">
        <f ca="1">MAX(0,MIN(Inputs!J$13,J32-J34))</f>
        <v>6592.4125572649245</v>
      </c>
      <c r="K35" s="28">
        <f ca="1">MAX(0,MIN(Inputs!K$13,K32-K34))</f>
        <v>6767.1362665003508</v>
      </c>
      <c r="L35" s="28">
        <f ca="1">MAX(0,MIN(Inputs!L$13,L32-L34))</f>
        <v>6922.7151244263914</v>
      </c>
    </row>
    <row r="36" spans="1:12" x14ac:dyDescent="0.35">
      <c r="A36" s="6" t="s">
        <v>50</v>
      </c>
      <c r="C36" s="28">
        <f>Inputs!C$12</f>
        <v>8963.76</v>
      </c>
      <c r="D36" s="28">
        <f>Inputs!D$12</f>
        <v>9322.3104000000003</v>
      </c>
      <c r="E36" s="28">
        <f>Inputs!E$12</f>
        <v>9695.2028160000009</v>
      </c>
      <c r="F36" s="28">
        <f>Inputs!F$12</f>
        <v>10083.01092864</v>
      </c>
      <c r="G36" s="28">
        <f>Inputs!G$12</f>
        <v>10486.3313657856</v>
      </c>
      <c r="H36" s="28">
        <f>Inputs!H$12</f>
        <v>10748.489649930239</v>
      </c>
      <c r="I36" s="28">
        <f>Inputs!I$12</f>
        <v>11017.2018911785</v>
      </c>
      <c r="J36" s="28">
        <f>Inputs!J$12</f>
        <v>11292.63193845796</v>
      </c>
      <c r="K36" s="28">
        <f>Inputs!K$12</f>
        <v>11574.947736919399</v>
      </c>
      <c r="L36" s="28">
        <f>Inputs!L$12</f>
        <v>11864.32143034239</v>
      </c>
    </row>
    <row r="37" spans="1:12" x14ac:dyDescent="0.35">
      <c r="A37" s="6" t="s">
        <v>118</v>
      </c>
      <c r="C37" s="28">
        <f ca="1">Inputs!C$14+C33-C34-C36-C35-C16-C29</f>
        <v>-27625.339962567497</v>
      </c>
      <c r="D37" s="28">
        <f ca="1">Inputs!D$14+D33-D34-D36-D35-D16-D29</f>
        <v>-21018.753478377417</v>
      </c>
      <c r="E37" s="28">
        <f ca="1">Inputs!E$14+E33-E34-E36-E35-E16-E29</f>
        <v>-21239.122440232997</v>
      </c>
      <c r="F37" s="28">
        <f ca="1">Inputs!F$14+F33-F34-F36-F35-F16-F29</f>
        <v>-21795.37956959485</v>
      </c>
      <c r="G37" s="28">
        <f ca="1">Inputs!G$14+G33-G34-G36-G35-G16-G29</f>
        <v>-22364.749859309377</v>
      </c>
      <c r="H37" s="28">
        <f ca="1">Inputs!H$14+H33-H34-H36-H35-H16-H29</f>
        <v>-22956.781057225206</v>
      </c>
      <c r="I37" s="28">
        <f ca="1">Inputs!I$14+I33-I34-I36-I35-I16-I29</f>
        <v>-23536.722146375585</v>
      </c>
      <c r="J37" s="28">
        <f ca="1">Inputs!J$14+J33-J34-J36-J35-J16-J29</f>
        <v>-24103.073848268978</v>
      </c>
      <c r="K37" s="28">
        <f ca="1">Inputs!K$14+K33-K34-K36-K35-K16-K29</f>
        <v>-24654.343158939912</v>
      </c>
      <c r="L37" s="28">
        <f ca="1">Inputs!L$14+L33-L34-L36-L35-L16-L29</f>
        <v>-25189.04959762175</v>
      </c>
    </row>
    <row r="38" spans="1:12" x14ac:dyDescent="0.35">
      <c r="A38" s="6" t="s">
        <v>119</v>
      </c>
      <c r="C38" s="28">
        <f t="shared" ref="C38:L38" ca="1" si="10">C27+C30+C37</f>
        <v>-6436.457400000003</v>
      </c>
      <c r="D38" s="28">
        <f t="shared" ca="1" si="10"/>
        <v>237.79542600000059</v>
      </c>
      <c r="E38" s="28">
        <f t="shared" ca="1" si="10"/>
        <v>480.34676051999122</v>
      </c>
      <c r="F38" s="28">
        <f t="shared" ca="1" si="10"/>
        <v>489.95369573041171</v>
      </c>
      <c r="G38" s="28">
        <f t="shared" ca="1" si="10"/>
        <v>499.7527696449979</v>
      </c>
      <c r="H38" s="28">
        <f t="shared" ca="1" si="10"/>
        <v>484.26043378600662</v>
      </c>
      <c r="I38" s="28">
        <f t="shared" ca="1" si="10"/>
        <v>467.48973034228038</v>
      </c>
      <c r="J38" s="28">
        <f t="shared" ca="1" si="10"/>
        <v>449.46540407239081</v>
      </c>
      <c r="K38" s="28">
        <f t="shared" ca="1" si="10"/>
        <v>430.21770912153806</v>
      </c>
      <c r="L38" s="28">
        <f t="shared" ca="1" si="10"/>
        <v>409.78236793826727</v>
      </c>
    </row>
    <row r="40" spans="1:12" x14ac:dyDescent="0.35">
      <c r="A40" s="17" t="s">
        <v>120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 x14ac:dyDescent="0.35">
      <c r="A41" s="6" t="s">
        <v>121</v>
      </c>
      <c r="B41" s="27">
        <f>History!$F$20</f>
        <v>30216</v>
      </c>
      <c r="C41" s="28">
        <f t="shared" ref="C41:L41" ca="1" si="11">B41+C38</f>
        <v>23779.542599999997</v>
      </c>
      <c r="D41" s="28">
        <f t="shared" ca="1" si="11"/>
        <v>24017.338025999998</v>
      </c>
      <c r="E41" s="28">
        <f t="shared" ca="1" si="11"/>
        <v>24497.684786519989</v>
      </c>
      <c r="F41" s="28">
        <f t="shared" ca="1" si="11"/>
        <v>24987.638482250401</v>
      </c>
      <c r="G41" s="28">
        <f t="shared" ca="1" si="11"/>
        <v>25487.391251895398</v>
      </c>
      <c r="H41" s="28">
        <f t="shared" ca="1" si="11"/>
        <v>25971.651685681405</v>
      </c>
      <c r="I41" s="28">
        <f t="shared" ca="1" si="11"/>
        <v>26439.141416023685</v>
      </c>
      <c r="J41" s="28">
        <f t="shared" ca="1" si="11"/>
        <v>26888.606820096076</v>
      </c>
      <c r="K41" s="28">
        <f t="shared" ca="1" si="11"/>
        <v>27318.824529217614</v>
      </c>
      <c r="L41" s="28">
        <f t="shared" ca="1" si="11"/>
        <v>27728.606897155882</v>
      </c>
    </row>
    <row r="42" spans="1:12" x14ac:dyDescent="0.35">
      <c r="A42" s="6" t="s">
        <v>122</v>
      </c>
      <c r="B42" s="27">
        <f>History!$F$23+History!$F$25</f>
        <v>196087</v>
      </c>
      <c r="C42" s="28">
        <f t="shared" ref="C42:L42" si="12">B42+C28+C29-C8</f>
        <v>198108.58</v>
      </c>
      <c r="D42" s="28">
        <f t="shared" si="12"/>
        <v>200150.37579999998</v>
      </c>
      <c r="E42" s="28">
        <f t="shared" si="12"/>
        <v>202233.00751599995</v>
      </c>
      <c r="F42" s="28">
        <f t="shared" si="12"/>
        <v>204357.29186631995</v>
      </c>
      <c r="G42" s="28">
        <f t="shared" si="12"/>
        <v>206524.06190364633</v>
      </c>
      <c r="H42" s="28">
        <f t="shared" si="12"/>
        <v>208732.00057168194</v>
      </c>
      <c r="I42" s="28">
        <f t="shared" si="12"/>
        <v>210979.68213574219</v>
      </c>
      <c r="J42" s="28">
        <f t="shared" si="12"/>
        <v>213265.57428639146</v>
      </c>
      <c r="K42" s="28">
        <f t="shared" si="12"/>
        <v>215588.04071145112</v>
      </c>
      <c r="L42" s="28">
        <f t="shared" si="12"/>
        <v>217945.34413288668</v>
      </c>
    </row>
    <row r="43" spans="1:12" x14ac:dyDescent="0.35">
      <c r="A43" s="6" t="s">
        <v>123</v>
      </c>
      <c r="B43" s="27">
        <f>History!$F$24</f>
        <v>15662</v>
      </c>
      <c r="C43" s="28">
        <f t="shared" ref="C43:L43" si="13">B43</f>
        <v>15662</v>
      </c>
      <c r="D43" s="28">
        <f t="shared" si="13"/>
        <v>15662</v>
      </c>
      <c r="E43" s="28">
        <f t="shared" si="13"/>
        <v>15662</v>
      </c>
      <c r="F43" s="28">
        <f t="shared" si="13"/>
        <v>15662</v>
      </c>
      <c r="G43" s="28">
        <f t="shared" si="13"/>
        <v>15662</v>
      </c>
      <c r="H43" s="28">
        <f t="shared" si="13"/>
        <v>15662</v>
      </c>
      <c r="I43" s="28">
        <f t="shared" si="13"/>
        <v>15662</v>
      </c>
      <c r="J43" s="28">
        <f t="shared" si="13"/>
        <v>15662</v>
      </c>
      <c r="K43" s="28">
        <f t="shared" si="13"/>
        <v>15662</v>
      </c>
      <c r="L43" s="28">
        <f t="shared" si="13"/>
        <v>15662</v>
      </c>
    </row>
    <row r="44" spans="1:12" x14ac:dyDescent="0.35">
      <c r="A44" s="6" t="s">
        <v>124</v>
      </c>
      <c r="B44" s="27">
        <f>History!$F$18-B41-B20-B21-B42-B43</f>
        <v>61572</v>
      </c>
      <c r="C44" s="28">
        <f t="shared" ref="C44:L44" si="14">B44</f>
        <v>61572</v>
      </c>
      <c r="D44" s="28">
        <f t="shared" si="14"/>
        <v>61572</v>
      </c>
      <c r="E44" s="28">
        <f t="shared" si="14"/>
        <v>61572</v>
      </c>
      <c r="F44" s="28">
        <f t="shared" si="14"/>
        <v>61572</v>
      </c>
      <c r="G44" s="28">
        <f t="shared" si="14"/>
        <v>61572</v>
      </c>
      <c r="H44" s="28">
        <f t="shared" si="14"/>
        <v>61572</v>
      </c>
      <c r="I44" s="28">
        <f t="shared" si="14"/>
        <v>61572</v>
      </c>
      <c r="J44" s="28">
        <f t="shared" si="14"/>
        <v>61572</v>
      </c>
      <c r="K44" s="28">
        <f t="shared" si="14"/>
        <v>61572</v>
      </c>
      <c r="L44" s="28">
        <f t="shared" si="14"/>
        <v>61572</v>
      </c>
    </row>
    <row r="45" spans="1:12" x14ac:dyDescent="0.35">
      <c r="A45" s="26" t="s">
        <v>125</v>
      </c>
      <c r="B45" s="28">
        <f t="shared" ref="B45:L45" si="15">B41+B20+B21+B42+B43+B44</f>
        <v>370350</v>
      </c>
      <c r="C45" s="28">
        <f t="shared" ca="1" si="15"/>
        <v>365266.9926</v>
      </c>
      <c r="D45" s="28">
        <f t="shared" ca="1" si="15"/>
        <v>368208.03252599994</v>
      </c>
      <c r="E45" s="28">
        <f t="shared" ca="1" si="15"/>
        <v>372107.13737651991</v>
      </c>
      <c r="F45" s="28">
        <f t="shared" ca="1" si="15"/>
        <v>376084.22432405036</v>
      </c>
      <c r="G45" s="28">
        <f t="shared" ca="1" si="15"/>
        <v>380140.85301053128</v>
      </c>
      <c r="H45" s="28">
        <f t="shared" ca="1" si="15"/>
        <v>384180.06470959773</v>
      </c>
      <c r="I45" s="28">
        <f t="shared" ca="1" si="15"/>
        <v>388195.59942814044</v>
      </c>
      <c r="J45" s="28">
        <f t="shared" ca="1" si="15"/>
        <v>392181.18417276052</v>
      </c>
      <c r="K45" s="28">
        <f t="shared" ca="1" si="15"/>
        <v>396130.55635600205</v>
      </c>
      <c r="L45" s="28">
        <f t="shared" ca="1" si="15"/>
        <v>400037.4875121059</v>
      </c>
    </row>
    <row r="46" spans="1:12" x14ac:dyDescent="0.35">
      <c r="A46" s="6" t="s">
        <v>126</v>
      </c>
      <c r="B46" s="27">
        <f>History!$F$29+History!$F$30</f>
        <v>75643</v>
      </c>
      <c r="C46" s="28">
        <f>B46+Inputs!C$14</f>
        <v>75643</v>
      </c>
      <c r="D46" s="28">
        <f>C46+Inputs!D$14</f>
        <v>75643</v>
      </c>
      <c r="E46" s="28">
        <f>D46+Inputs!E$14</f>
        <v>75643</v>
      </c>
      <c r="F46" s="28">
        <f>E46+Inputs!F$14</f>
        <v>75643</v>
      </c>
      <c r="G46" s="28">
        <f>F46+Inputs!G$14</f>
        <v>75643</v>
      </c>
      <c r="H46" s="28">
        <f>G46+Inputs!H$14</f>
        <v>75643</v>
      </c>
      <c r="I46" s="28">
        <f>H46+Inputs!I$14</f>
        <v>75643</v>
      </c>
      <c r="J46" s="28">
        <f>I46+Inputs!J$14</f>
        <v>75643</v>
      </c>
      <c r="K46" s="28">
        <f>J46+Inputs!K$14</f>
        <v>75643</v>
      </c>
      <c r="L46" s="28">
        <f>K46+Inputs!L$14</f>
        <v>75643</v>
      </c>
    </row>
    <row r="47" spans="1:12" x14ac:dyDescent="0.35">
      <c r="A47" s="6" t="s">
        <v>127</v>
      </c>
      <c r="B47" s="16">
        <v>0</v>
      </c>
      <c r="C47" s="28">
        <f t="shared" ref="C47:L47" ca="1" si="16">B47+C33-C34</f>
        <v>0</v>
      </c>
      <c r="D47" s="28">
        <f t="shared" ca="1" si="16"/>
        <v>0</v>
      </c>
      <c r="E47" s="28">
        <f t="shared" ca="1" si="16"/>
        <v>0</v>
      </c>
      <c r="F47" s="28">
        <f t="shared" ca="1" si="16"/>
        <v>0</v>
      </c>
      <c r="G47" s="28">
        <f t="shared" ca="1" si="16"/>
        <v>0</v>
      </c>
      <c r="H47" s="28">
        <f t="shared" ca="1" si="16"/>
        <v>0</v>
      </c>
      <c r="I47" s="28">
        <f t="shared" ca="1" si="16"/>
        <v>0</v>
      </c>
      <c r="J47" s="28">
        <f t="shared" ca="1" si="16"/>
        <v>0</v>
      </c>
      <c r="K47" s="28">
        <f t="shared" ca="1" si="16"/>
        <v>0</v>
      </c>
      <c r="L47" s="28">
        <f t="shared" ca="1" si="16"/>
        <v>0</v>
      </c>
    </row>
    <row r="48" spans="1:12" x14ac:dyDescent="0.35">
      <c r="A48" s="6" t="s">
        <v>128</v>
      </c>
      <c r="B48" s="27">
        <f>History!$F$31</f>
        <v>28933</v>
      </c>
      <c r="C48" s="28">
        <f t="shared" ref="C48:L48" si="17">B48</f>
        <v>28933</v>
      </c>
      <c r="D48" s="28">
        <f t="shared" si="17"/>
        <v>28933</v>
      </c>
      <c r="E48" s="28">
        <f t="shared" si="17"/>
        <v>28933</v>
      </c>
      <c r="F48" s="28">
        <f t="shared" si="17"/>
        <v>28933</v>
      </c>
      <c r="G48" s="28">
        <f t="shared" si="17"/>
        <v>28933</v>
      </c>
      <c r="H48" s="28">
        <f t="shared" si="17"/>
        <v>28933</v>
      </c>
      <c r="I48" s="28">
        <f t="shared" si="17"/>
        <v>28933</v>
      </c>
      <c r="J48" s="28">
        <f t="shared" si="17"/>
        <v>28933</v>
      </c>
      <c r="K48" s="28">
        <f t="shared" si="17"/>
        <v>28933</v>
      </c>
      <c r="L48" s="28">
        <f t="shared" si="17"/>
        <v>28933</v>
      </c>
    </row>
    <row r="49" spans="1:12" x14ac:dyDescent="0.35">
      <c r="A49" s="6" t="s">
        <v>129</v>
      </c>
      <c r="B49" s="27">
        <f>History!$F$26-B22-B46-B48</f>
        <v>32685</v>
      </c>
      <c r="C49" s="28">
        <f t="shared" ref="C49:L49" si="18">B49</f>
        <v>32685</v>
      </c>
      <c r="D49" s="28">
        <f t="shared" si="18"/>
        <v>32685</v>
      </c>
      <c r="E49" s="28">
        <f t="shared" si="18"/>
        <v>32685</v>
      </c>
      <c r="F49" s="28">
        <f t="shared" si="18"/>
        <v>32685</v>
      </c>
      <c r="G49" s="28">
        <f t="shared" si="18"/>
        <v>32685</v>
      </c>
      <c r="H49" s="28">
        <f t="shared" si="18"/>
        <v>32685</v>
      </c>
      <c r="I49" s="28">
        <f t="shared" si="18"/>
        <v>32685</v>
      </c>
      <c r="J49" s="28">
        <f t="shared" si="18"/>
        <v>32685</v>
      </c>
      <c r="K49" s="28">
        <f t="shared" si="18"/>
        <v>32685</v>
      </c>
      <c r="L49" s="28">
        <f t="shared" si="18"/>
        <v>32685</v>
      </c>
    </row>
    <row r="50" spans="1:12" x14ac:dyDescent="0.35">
      <c r="A50" s="26" t="s">
        <v>130</v>
      </c>
      <c r="B50" s="28">
        <f t="shared" ref="B50:L50" si="19">B22+B46+B47+B48+B49</f>
        <v>195031</v>
      </c>
      <c r="C50" s="28">
        <f t="shared" ca="1" si="19"/>
        <v>194453.30000000002</v>
      </c>
      <c r="D50" s="28">
        <f t="shared" ca="1" si="19"/>
        <v>195025.223</v>
      </c>
      <c r="E50" s="28">
        <f t="shared" ca="1" si="19"/>
        <v>196180.50745999999</v>
      </c>
      <c r="F50" s="28">
        <f t="shared" ca="1" si="19"/>
        <v>197358.89760920001</v>
      </c>
      <c r="G50" s="28">
        <f t="shared" ca="1" si="19"/>
        <v>198560.855561384</v>
      </c>
      <c r="H50" s="28">
        <f t="shared" ca="1" si="19"/>
        <v>199725.55281705031</v>
      </c>
      <c r="I50" s="28">
        <f t="shared" ca="1" si="19"/>
        <v>200849.9147677572</v>
      </c>
      <c r="J50" s="28">
        <f t="shared" ca="1" si="19"/>
        <v>201930.92631880907</v>
      </c>
      <c r="K50" s="28">
        <f t="shared" ca="1" si="19"/>
        <v>202965.64513991002</v>
      </c>
      <c r="L50" s="28">
        <f t="shared" ca="1" si="19"/>
        <v>203951.21481700864</v>
      </c>
    </row>
    <row r="51" spans="1:12" x14ac:dyDescent="0.35">
      <c r="A51" s="6" t="s">
        <v>131</v>
      </c>
      <c r="B51" s="27">
        <f>History!$F$33</f>
        <v>174392</v>
      </c>
      <c r="C51" s="28">
        <f t="shared" ref="C51:L51" ca="1" si="20">B51+C17-C36-C35</f>
        <v>169886.69259999995</v>
      </c>
      <c r="D51" s="28">
        <f t="shared" ca="1" si="20"/>
        <v>172255.80952599997</v>
      </c>
      <c r="E51" s="28">
        <f t="shared" ca="1" si="20"/>
        <v>174999.62991651995</v>
      </c>
      <c r="F51" s="28">
        <f t="shared" ca="1" si="20"/>
        <v>177798.32671485038</v>
      </c>
      <c r="G51" s="28">
        <f t="shared" ca="1" si="20"/>
        <v>180652.9974491474</v>
      </c>
      <c r="H51" s="28">
        <f t="shared" ca="1" si="20"/>
        <v>183527.51189254748</v>
      </c>
      <c r="I51" s="28">
        <f t="shared" ca="1" si="20"/>
        <v>186418.6846603833</v>
      </c>
      <c r="J51" s="28">
        <f t="shared" ca="1" si="20"/>
        <v>189323.25785395145</v>
      </c>
      <c r="K51" s="28">
        <f t="shared" ca="1" si="20"/>
        <v>192237.91121609206</v>
      </c>
      <c r="L51" s="28">
        <f t="shared" ca="1" si="20"/>
        <v>195159.27269509726</v>
      </c>
    </row>
    <row r="52" spans="1:12" x14ac:dyDescent="0.35">
      <c r="A52" s="6" t="s">
        <v>104</v>
      </c>
      <c r="B52" s="27">
        <f>History!$F$34</f>
        <v>927</v>
      </c>
      <c r="C52" s="28">
        <f t="shared" ref="C52:L52" si="21">B52</f>
        <v>927</v>
      </c>
      <c r="D52" s="28">
        <f t="shared" si="21"/>
        <v>927</v>
      </c>
      <c r="E52" s="28">
        <f t="shared" si="21"/>
        <v>927</v>
      </c>
      <c r="F52" s="28">
        <f t="shared" si="21"/>
        <v>927</v>
      </c>
      <c r="G52" s="28">
        <f t="shared" si="21"/>
        <v>927</v>
      </c>
      <c r="H52" s="28">
        <f t="shared" si="21"/>
        <v>927</v>
      </c>
      <c r="I52" s="28">
        <f t="shared" si="21"/>
        <v>927</v>
      </c>
      <c r="J52" s="28">
        <f t="shared" si="21"/>
        <v>927</v>
      </c>
      <c r="K52" s="28">
        <f t="shared" si="21"/>
        <v>927</v>
      </c>
      <c r="L52" s="28">
        <f t="shared" si="21"/>
        <v>927</v>
      </c>
    </row>
    <row r="53" spans="1:12" x14ac:dyDescent="0.35">
      <c r="A53" s="26" t="s">
        <v>132</v>
      </c>
      <c r="B53" s="28">
        <f t="shared" ref="B53:L53" si="22">B51+B52</f>
        <v>175319</v>
      </c>
      <c r="C53" s="28">
        <f t="shared" ca="1" si="22"/>
        <v>170813.69259999995</v>
      </c>
      <c r="D53" s="28">
        <f t="shared" ca="1" si="22"/>
        <v>173182.80952599997</v>
      </c>
      <c r="E53" s="28">
        <f t="shared" ca="1" si="22"/>
        <v>175926.62991651995</v>
      </c>
      <c r="F53" s="28">
        <f t="shared" ca="1" si="22"/>
        <v>178725.32671485038</v>
      </c>
      <c r="G53" s="28">
        <f t="shared" ca="1" si="22"/>
        <v>181579.9974491474</v>
      </c>
      <c r="H53" s="28">
        <f t="shared" ca="1" si="22"/>
        <v>184454.51189254748</v>
      </c>
      <c r="I53" s="28">
        <f t="shared" ca="1" si="22"/>
        <v>187345.6846603833</v>
      </c>
      <c r="J53" s="28">
        <f t="shared" ca="1" si="22"/>
        <v>190250.25785395145</v>
      </c>
      <c r="K53" s="28">
        <f t="shared" ca="1" si="22"/>
        <v>193164.91121609206</v>
      </c>
      <c r="L53" s="28">
        <f t="shared" ca="1" si="22"/>
        <v>196086.27269509726</v>
      </c>
    </row>
    <row r="54" spans="1:12" x14ac:dyDescent="0.35">
      <c r="A54" s="6" t="s">
        <v>133</v>
      </c>
      <c r="B54" s="28">
        <f t="shared" ref="B54:L54" si="23">B45-B50-B53</f>
        <v>0</v>
      </c>
      <c r="C54" s="28">
        <f t="shared" ca="1" si="23"/>
        <v>0</v>
      </c>
      <c r="D54" s="28">
        <f t="shared" ca="1" si="23"/>
        <v>0</v>
      </c>
      <c r="E54" s="28">
        <f t="shared" ca="1" si="23"/>
        <v>0</v>
      </c>
      <c r="F54" s="28">
        <f t="shared" ca="1" si="23"/>
        <v>0</v>
      </c>
      <c r="G54" s="28">
        <f t="shared" ca="1" si="23"/>
        <v>0</v>
      </c>
      <c r="H54" s="28">
        <f t="shared" ca="1" si="23"/>
        <v>0</v>
      </c>
      <c r="I54" s="28">
        <f t="shared" ca="1" si="23"/>
        <v>0</v>
      </c>
      <c r="J54" s="28">
        <f t="shared" ca="1" si="23"/>
        <v>0</v>
      </c>
      <c r="K54" s="28">
        <f t="shared" ca="1" si="23"/>
        <v>0</v>
      </c>
      <c r="L54" s="28">
        <f t="shared" ca="1" si="23"/>
        <v>0</v>
      </c>
    </row>
    <row r="56" spans="1:12" x14ac:dyDescent="0.35">
      <c r="A56" s="17" t="s">
        <v>134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x14ac:dyDescent="0.35">
      <c r="A57" s="26" t="s">
        <v>135</v>
      </c>
      <c r="C57" s="28">
        <f>C7*(1-Inputs!C$10)+C8-C28-C29-C23</f>
        <v>15859.922176680277</v>
      </c>
      <c r="D57" s="28">
        <f>D7*(1-Inputs!D$10)+D8-D28-D29-D23</f>
        <v>15918.749441315174</v>
      </c>
      <c r="E57" s="28">
        <f>E7*(1-Inputs!E$10)+E8-E28-E29-E23</f>
        <v>16230.308533866952</v>
      </c>
      <c r="F57" s="28">
        <f>F7*(1-Inputs!F$10)+F8-F28-F29-F23</f>
        <v>16639.278704344273</v>
      </c>
      <c r="G57" s="28">
        <f>G7*(1-Inputs!G$10)+G8-G28-G29-G23</f>
        <v>17058.115558227157</v>
      </c>
      <c r="H57" s="28">
        <f>H7*(1-Inputs!H$10)+H8-H28-H29-H23</f>
        <v>17479.313404311863</v>
      </c>
      <c r="I57" s="28">
        <f>I7*(1-Inputs!I$10)+I8-I28-I29-I23</f>
        <v>17892.801196569202</v>
      </c>
      <c r="J57" s="28">
        <f>J7*(1-Inputs!J$10)+J8-J28-J29-J23</f>
        <v>18297.538781545871</v>
      </c>
      <c r="K57" s="28">
        <f>K7*(1-Inputs!K$10)+K8-K28-K29-K23</f>
        <v>18692.487881839003</v>
      </c>
      <c r="L57" s="28">
        <f>L7*(1-Inputs!L$10)+L8-L28-L29-L23</f>
        <v>19076.616414774035</v>
      </c>
    </row>
    <row r="58" spans="1:12" x14ac:dyDescent="0.35">
      <c r="A58" s="6" t="s">
        <v>136</v>
      </c>
      <c r="C58" s="28">
        <f t="shared" ref="C58:L58" ca="1" si="24">C46+C47+C48-C41</f>
        <v>80796.457399999999</v>
      </c>
      <c r="D58" s="28">
        <f t="shared" ca="1" si="24"/>
        <v>80558.661974000002</v>
      </c>
      <c r="E58" s="28">
        <f t="shared" ca="1" si="24"/>
        <v>80078.315213480004</v>
      </c>
      <c r="F58" s="28">
        <f t="shared" ca="1" si="24"/>
        <v>79588.361517749596</v>
      </c>
      <c r="G58" s="28">
        <f t="shared" ca="1" si="24"/>
        <v>79088.608748104598</v>
      </c>
      <c r="H58" s="28">
        <f t="shared" ca="1" si="24"/>
        <v>78604.348314318602</v>
      </c>
      <c r="I58" s="28">
        <f t="shared" ca="1" si="24"/>
        <v>78136.858583976311</v>
      </c>
      <c r="J58" s="28">
        <f t="shared" ca="1" si="24"/>
        <v>77687.393179903927</v>
      </c>
      <c r="K58" s="28">
        <f t="shared" ca="1" si="24"/>
        <v>77257.175470782386</v>
      </c>
      <c r="L58" s="28">
        <f t="shared" ca="1" si="24"/>
        <v>76847.393102844115</v>
      </c>
    </row>
    <row r="59" spans="1:12" x14ac:dyDescent="0.35">
      <c r="A59" s="6" t="s">
        <v>137</v>
      </c>
      <c r="C59" s="29">
        <f t="shared" ref="C59:L59" ca="1" si="25">IF(C9&lt;&gt;0,C58/C9,0)</f>
        <v>1.5890110233442627</v>
      </c>
      <c r="D59" s="29">
        <f t="shared" ca="1" si="25"/>
        <v>1.5686478600796305</v>
      </c>
      <c r="E59" s="29">
        <f t="shared" ca="1" si="25"/>
        <v>1.528720088972509</v>
      </c>
      <c r="F59" s="29">
        <f t="shared" ca="1" si="25"/>
        <v>1.4895752153380757</v>
      </c>
      <c r="G59" s="29">
        <f t="shared" ca="1" si="25"/>
        <v>1.4511978882454943</v>
      </c>
      <c r="H59" s="29">
        <f t="shared" ca="1" si="25"/>
        <v>1.4154192221631074</v>
      </c>
      <c r="I59" s="29">
        <f t="shared" ca="1" si="25"/>
        <v>1.3821229761966627</v>
      </c>
      <c r="J59" s="29">
        <f t="shared" ca="1" si="25"/>
        <v>1.3512021752882422</v>
      </c>
      <c r="K59" s="29">
        <f t="shared" ca="1" si="25"/>
        <v>1.3225585431359299</v>
      </c>
      <c r="L59" s="29">
        <f t="shared" ca="1" si="25"/>
        <v>1.2961019863450007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showGridLines="0" workbookViewId="0"/>
  </sheetViews>
  <sheetFormatPr defaultRowHeight="14.5" x14ac:dyDescent="0.35"/>
  <cols>
    <col min="1" max="1" width="52" customWidth="1"/>
    <col min="2" max="13" width="12" customWidth="1"/>
  </cols>
  <sheetData>
    <row r="1" spans="1:12" ht="20" x14ac:dyDescent="0.4">
      <c r="A1" s="10" t="s">
        <v>138</v>
      </c>
    </row>
    <row r="2" spans="1:12" x14ac:dyDescent="0.35">
      <c r="A2" s="2" t="s">
        <v>139</v>
      </c>
    </row>
    <row r="4" spans="1:12" x14ac:dyDescent="0.35">
      <c r="A4" s="17" t="s">
        <v>140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x14ac:dyDescent="0.35">
      <c r="A5" s="6" t="s">
        <v>141</v>
      </c>
      <c r="B5" s="30">
        <f>Inputs!$C$27+Inputs!$C$29*Inputs!$C$28</f>
        <v>9.6806905944952892E-2</v>
      </c>
    </row>
    <row r="6" spans="1:12" x14ac:dyDescent="0.35">
      <c r="A6" s="6" t="s">
        <v>142</v>
      </c>
      <c r="B6" s="30">
        <f>(Inputs!$C$27+Inputs!$C$30)*(1-Inputs!$C$31)</f>
        <v>4.2905179458714665E-2</v>
      </c>
    </row>
    <row r="7" spans="1:12" x14ac:dyDescent="0.35">
      <c r="A7" s="6" t="s">
        <v>143</v>
      </c>
      <c r="B7" s="28">
        <f>Inputs!$C$34*Inputs!$C$35/100*Inputs!$C$36</f>
        <v>288362.43730578711</v>
      </c>
    </row>
    <row r="8" spans="1:12" x14ac:dyDescent="0.35">
      <c r="A8" s="6" t="s">
        <v>144</v>
      </c>
      <c r="B8" s="27">
        <f>History!$F$29+History!$F$30+History!$F$31</f>
        <v>104576</v>
      </c>
    </row>
    <row r="9" spans="1:12" x14ac:dyDescent="0.35">
      <c r="A9" s="26" t="s">
        <v>145</v>
      </c>
      <c r="B9" s="31">
        <f>(B7*B5+B8*B6)/(B7+B8)</f>
        <v>8.2461587661319988E-2</v>
      </c>
    </row>
    <row r="11" spans="1:12" x14ac:dyDescent="0.35">
      <c r="A11" s="17" t="s">
        <v>146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x14ac:dyDescent="0.35">
      <c r="A12" s="11"/>
      <c r="B12" s="12"/>
      <c r="C12" s="12" t="s">
        <v>84</v>
      </c>
      <c r="D12" s="12" t="s">
        <v>85</v>
      </c>
      <c r="E12" s="12" t="s">
        <v>86</v>
      </c>
      <c r="F12" s="12" t="s">
        <v>87</v>
      </c>
      <c r="G12" s="12" t="s">
        <v>88</v>
      </c>
      <c r="H12" s="12" t="s">
        <v>89</v>
      </c>
      <c r="I12" s="12" t="s">
        <v>90</v>
      </c>
      <c r="J12" s="12" t="s">
        <v>91</v>
      </c>
      <c r="K12" s="12" t="s">
        <v>92</v>
      </c>
      <c r="L12" s="12" t="s">
        <v>93</v>
      </c>
    </row>
    <row r="13" spans="1:12" x14ac:dyDescent="0.35">
      <c r="A13" s="6" t="s">
        <v>135</v>
      </c>
      <c r="C13" s="27">
        <f>Forecast!C57</f>
        <v>15859.922176680277</v>
      </c>
      <c r="D13" s="27">
        <f>Forecast!D57</f>
        <v>15918.749441315174</v>
      </c>
      <c r="E13" s="27">
        <f>Forecast!E57</f>
        <v>16230.308533866952</v>
      </c>
      <c r="F13" s="27">
        <f>Forecast!F57</f>
        <v>16639.278704344273</v>
      </c>
      <c r="G13" s="27">
        <f>Forecast!G57</f>
        <v>17058.115558227157</v>
      </c>
      <c r="H13" s="27">
        <f>Forecast!H57</f>
        <v>17479.313404311863</v>
      </c>
      <c r="I13" s="27">
        <f>Forecast!I57</f>
        <v>17892.801196569202</v>
      </c>
      <c r="J13" s="27">
        <f>Forecast!J57</f>
        <v>18297.538781545871</v>
      </c>
      <c r="K13" s="27">
        <f>Forecast!K57</f>
        <v>18692.487881839003</v>
      </c>
      <c r="L13" s="27">
        <f>Forecast!L57</f>
        <v>19076.616414774035</v>
      </c>
    </row>
    <row r="14" spans="1:12" x14ac:dyDescent="0.35">
      <c r="A14" s="6" t="s">
        <v>147</v>
      </c>
      <c r="C14" s="32">
        <v>0.5</v>
      </c>
      <c r="D14" s="32">
        <v>1.5</v>
      </c>
      <c r="E14" s="32">
        <v>2.5</v>
      </c>
      <c r="F14" s="32">
        <v>3.5</v>
      </c>
      <c r="G14" s="32">
        <v>4.5</v>
      </c>
      <c r="H14" s="32">
        <v>5.5</v>
      </c>
      <c r="I14" s="32">
        <v>6.5</v>
      </c>
      <c r="J14" s="32">
        <v>7.5</v>
      </c>
      <c r="K14" s="32">
        <v>8.5</v>
      </c>
      <c r="L14" s="32">
        <v>9.5</v>
      </c>
    </row>
    <row r="15" spans="1:12" x14ac:dyDescent="0.35">
      <c r="A15" s="6" t="s">
        <v>148</v>
      </c>
      <c r="C15" s="33">
        <f t="shared" ref="C15:L15" si="0">1/(1+$B$9)^C14</f>
        <v>0.9611557160438351</v>
      </c>
      <c r="D15" s="33">
        <f t="shared" si="0"/>
        <v>0.88793517201883476</v>
      </c>
      <c r="E15" s="33">
        <f t="shared" si="0"/>
        <v>0.82029254630387083</v>
      </c>
      <c r="F15" s="33">
        <f t="shared" si="0"/>
        <v>0.75780291481393747</v>
      </c>
      <c r="G15" s="33">
        <f t="shared" si="0"/>
        <v>0.70007372404889301</v>
      </c>
      <c r="H15" s="33">
        <f t="shared" si="0"/>
        <v>0.64674232511235474</v>
      </c>
      <c r="I15" s="33">
        <f t="shared" si="0"/>
        <v>0.59747369558826979</v>
      </c>
      <c r="J15" s="33">
        <f t="shared" si="0"/>
        <v>0.55195833496422142</v>
      </c>
      <c r="K15" s="33">
        <f t="shared" si="0"/>
        <v>0.50991032038073381</v>
      </c>
      <c r="L15" s="33">
        <f t="shared" si="0"/>
        <v>0.47106551049299156</v>
      </c>
    </row>
    <row r="16" spans="1:12" x14ac:dyDescent="0.35">
      <c r="A16" s="6" t="s">
        <v>149</v>
      </c>
      <c r="C16" s="28">
        <f t="shared" ref="C16:L16" si="1">C13*C15</f>
        <v>15243.854856126631</v>
      </c>
      <c r="D16" s="28">
        <f t="shared" si="1"/>
        <v>14134.817523498919</v>
      </c>
      <c r="E16" s="28">
        <f t="shared" si="1"/>
        <v>13313.601114543166</v>
      </c>
      <c r="F16" s="28">
        <f t="shared" si="1"/>
        <v>12609.293902553567</v>
      </c>
      <c r="G16" s="28">
        <f t="shared" si="1"/>
        <v>11941.938484104447</v>
      </c>
      <c r="H16" s="28">
        <f t="shared" si="1"/>
        <v>11304.611792472202</v>
      </c>
      <c r="I16" s="28">
        <f t="shared" si="1"/>
        <v>10690.478055340416</v>
      </c>
      <c r="J16" s="28">
        <f t="shared" si="1"/>
        <v>10099.479039805328</v>
      </c>
      <c r="K16" s="28">
        <f t="shared" si="1"/>
        <v>9531.4924845415098</v>
      </c>
      <c r="L16" s="28">
        <f t="shared" si="1"/>
        <v>8986.3360499045139</v>
      </c>
    </row>
    <row r="18" spans="1:12" x14ac:dyDescent="0.35">
      <c r="A18" s="17" t="s">
        <v>150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x14ac:dyDescent="0.35">
      <c r="A19" s="6" t="s">
        <v>151</v>
      </c>
      <c r="B19" s="28">
        <f>SUM(C16:L16)</f>
        <v>117855.9033028907</v>
      </c>
    </row>
    <row r="20" spans="1:12" x14ac:dyDescent="0.35">
      <c r="A20" s="6" t="s">
        <v>152</v>
      </c>
      <c r="B20" s="28">
        <f>L13*(1+Inputs!$C$32)/($B$9-Inputs!$C$32)</f>
        <v>287019.1220254596</v>
      </c>
    </row>
    <row r="21" spans="1:12" x14ac:dyDescent="0.35">
      <c r="A21" s="6" t="s">
        <v>153</v>
      </c>
      <c r="B21" s="28">
        <f>B20/(1+$B$9)^(L14)</f>
        <v>135204.80923817336</v>
      </c>
    </row>
    <row r="22" spans="1:12" x14ac:dyDescent="0.35">
      <c r="A22" s="26" t="s">
        <v>154</v>
      </c>
      <c r="B22" s="34">
        <f>B19+B21</f>
        <v>253060.71254106407</v>
      </c>
    </row>
    <row r="23" spans="1:12" x14ac:dyDescent="0.35">
      <c r="A23" s="6" t="s">
        <v>155</v>
      </c>
      <c r="B23" s="27">
        <f>History!$F$38</f>
        <v>27775</v>
      </c>
    </row>
    <row r="24" spans="1:12" x14ac:dyDescent="0.35">
      <c r="A24" s="6" t="s">
        <v>156</v>
      </c>
      <c r="B24" s="27">
        <f>-(History!$F$29+History!$F$30)</f>
        <v>-75643</v>
      </c>
    </row>
    <row r="25" spans="1:12" x14ac:dyDescent="0.35">
      <c r="A25" s="6" t="s">
        <v>157</v>
      </c>
      <c r="B25" s="27">
        <f>-History!$F$31</f>
        <v>-28933</v>
      </c>
    </row>
    <row r="26" spans="1:12" x14ac:dyDescent="0.35">
      <c r="A26" s="6" t="s">
        <v>158</v>
      </c>
      <c r="B26" s="27">
        <f>History!$F$20</f>
        <v>30216</v>
      </c>
    </row>
    <row r="27" spans="1:12" x14ac:dyDescent="0.35">
      <c r="A27" s="6" t="s">
        <v>159</v>
      </c>
      <c r="B27" s="27">
        <f>-History!$F$34</f>
        <v>-927</v>
      </c>
    </row>
    <row r="28" spans="1:12" x14ac:dyDescent="0.35">
      <c r="A28" s="6" t="s">
        <v>160</v>
      </c>
      <c r="B28" s="27">
        <f>-History!$F$42*(1-Inputs!$C$31)</f>
        <v>-14100.75</v>
      </c>
    </row>
    <row r="29" spans="1:12" x14ac:dyDescent="0.35">
      <c r="A29" s="6" t="s">
        <v>161</v>
      </c>
      <c r="B29" s="27">
        <f>-History!$F$43*(1-Inputs!$C$31)</f>
        <v>-1563</v>
      </c>
    </row>
    <row r="30" spans="1:12" x14ac:dyDescent="0.35">
      <c r="A30" s="26" t="s">
        <v>162</v>
      </c>
      <c r="B30" s="34">
        <f>SUM(B22:B29)</f>
        <v>189884.96254106407</v>
      </c>
    </row>
    <row r="31" spans="1:12" x14ac:dyDescent="0.35">
      <c r="A31" s="6" t="s">
        <v>163</v>
      </c>
      <c r="B31" s="33">
        <f>(Inputs!$C$37-DATE(2025,12,31))/365</f>
        <v>0.77534246575342469</v>
      </c>
    </row>
    <row r="32" spans="1:12" x14ac:dyDescent="0.35">
      <c r="A32" s="6" t="s">
        <v>164</v>
      </c>
      <c r="B32" s="33">
        <f>Inputs!C$12/Inputs!$C$34</f>
        <v>1.5749450643082785</v>
      </c>
    </row>
    <row r="33" spans="1:12" x14ac:dyDescent="0.35">
      <c r="A33" s="6" t="s">
        <v>165</v>
      </c>
      <c r="B33" s="35">
        <f>B30/Inputs!$C$34*(1+B5)^B31-B32*B31</f>
        <v>34.619900856731221</v>
      </c>
    </row>
    <row r="34" spans="1:12" x14ac:dyDescent="0.35">
      <c r="A34" s="26" t="s">
        <v>166</v>
      </c>
      <c r="B34" s="36">
        <f>B33/Inputs!$C$36*100</f>
        <v>2621.1419488631068</v>
      </c>
    </row>
    <row r="35" spans="1:12" x14ac:dyDescent="0.35">
      <c r="A35" s="6" t="s">
        <v>167</v>
      </c>
      <c r="B35" s="37">
        <f>B34/Inputs!$C$35-1</f>
        <v>-0.31669917912849144</v>
      </c>
    </row>
    <row r="36" spans="1:12" x14ac:dyDescent="0.35">
      <c r="A36" s="6" t="s">
        <v>168</v>
      </c>
      <c r="B36" s="37">
        <f>B21/B22</f>
        <v>0.5342781496208493</v>
      </c>
    </row>
    <row r="37" spans="1:12" x14ac:dyDescent="0.35">
      <c r="A37" s="6" t="s">
        <v>169</v>
      </c>
      <c r="B37" s="38">
        <f>B20/Forecast!L9</f>
        <v>4.8408415582600739</v>
      </c>
    </row>
    <row r="39" spans="1:12" x14ac:dyDescent="0.35">
      <c r="A39" s="17" t="s">
        <v>170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12" x14ac:dyDescent="0.35">
      <c r="A40" s="6" t="s">
        <v>171</v>
      </c>
      <c r="B40" s="27">
        <f>Inputs!$C$33*Forecast!L9</f>
        <v>296455.81101049489</v>
      </c>
    </row>
    <row r="41" spans="1:12" x14ac:dyDescent="0.35">
      <c r="A41" s="6" t="s">
        <v>172</v>
      </c>
      <c r="B41" s="28">
        <f>B40/(1+$B$9)^10</f>
        <v>134225.49950446549</v>
      </c>
    </row>
    <row r="42" spans="1:12" x14ac:dyDescent="0.35">
      <c r="A42" s="6" t="s">
        <v>173</v>
      </c>
      <c r="B42" s="28">
        <f>B19+B41+SUM(B23:B29)</f>
        <v>188905.65280735621</v>
      </c>
    </row>
    <row r="43" spans="1:12" x14ac:dyDescent="0.35">
      <c r="A43" s="6" t="s">
        <v>166</v>
      </c>
      <c r="B43" s="32">
        <f>(B42/Inputs!$C$34*(1+B5)^B31-B32*B31)/Inputs!$C$36*100</f>
        <v>2607.1468937897412</v>
      </c>
    </row>
    <row r="45" spans="1:12" x14ac:dyDescent="0.35">
      <c r="A45" s="17" t="s">
        <v>174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 x14ac:dyDescent="0.35">
      <c r="A46" s="3" t="s">
        <v>175</v>
      </c>
      <c r="B46" s="39">
        <f>Inputs!$C$32+-0.01</f>
        <v>4.9999999999999992E-3</v>
      </c>
      <c r="C46" s="39">
        <f>Inputs!$C$32+-0.005</f>
        <v>9.9999999999999985E-3</v>
      </c>
      <c r="D46" s="39">
        <f>Inputs!$C$32+0</f>
        <v>1.4999999999999999E-2</v>
      </c>
      <c r="E46" s="39">
        <f>Inputs!$C$32+0.005</f>
        <v>0.02</v>
      </c>
      <c r="F46" s="39">
        <f>Inputs!$C$32+0.01</f>
        <v>2.5000000000000001E-2</v>
      </c>
    </row>
    <row r="47" spans="1:12" x14ac:dyDescent="0.35">
      <c r="A47" s="31">
        <f>$B$9+-0.01</f>
        <v>7.2461587661319993E-2</v>
      </c>
      <c r="B47" s="28">
        <f>((SUMPRODUCT($C$13:$L$13/(1+$A47)^$C$14:$L$14)+$L$13*(1+B$46)/($A47-B$46)/(1+$A47)^$L$14+SUM($B$23:$B$29))/Inputs!$C$34*(1+$B$5)^$B$31-$B$32*$B$31)/Inputs!$C$36*100</f>
        <v>2851.3716965134963</v>
      </c>
      <c r="C47" s="28">
        <f>((SUMPRODUCT($C$13:$L$13/(1+$A47)^$C$14:$L$14)+$L$13*(1+C$46)/($A47-C$46)/(1+$A47)^$L$14+SUM($B$23:$B$29))/Inputs!$C$34*(1+$B$5)^$B$31-$B$32*$B$31)/Inputs!$C$36*100</f>
        <v>3029.8607038595696</v>
      </c>
      <c r="D47" s="28">
        <f>((SUMPRODUCT($C$13:$L$13/(1+$A47)^$C$14:$L$14)+$L$13*(1+D$46)/($A47-D$46)/(1+$A47)^$L$14+SUM($B$23:$B$29))/Inputs!$C$34*(1+$B$5)^$B$31-$B$32*$B$31)/Inputs!$C$36*100</f>
        <v>3239.4120285920158</v>
      </c>
      <c r="E47" s="28">
        <f>((SUMPRODUCT($C$13:$L$13/(1+$A47)^$C$14:$L$14)+$L$13*(1+E$46)/($A47-E$46)/(1+$A47)^$L$14+SUM($B$23:$B$29))/Inputs!$C$34*(1+$B$5)^$B$31-$B$32*$B$31)/Inputs!$C$36*100</f>
        <v>3488.9071167662528</v>
      </c>
      <c r="F47" s="28">
        <f>((SUMPRODUCT($C$13:$L$13/(1+$A47)^$C$14:$L$14)+$L$13*(1+F$46)/($A47-F$46)/(1+$A47)^$L$14+SUM($B$23:$B$29))/Inputs!$C$34*(1+$B$5)^$B$31-$B$32*$B$31)/Inputs!$C$36*100</f>
        <v>3790.9699972264525</v>
      </c>
    </row>
    <row r="48" spans="1:12" x14ac:dyDescent="0.35">
      <c r="A48" s="31">
        <f>$B$9+-0.005</f>
        <v>7.7461587661319983E-2</v>
      </c>
      <c r="B48" s="28">
        <f>((SUMPRODUCT($C$13:$L$13/(1+$A48)^$C$14:$L$14)+$L$13*(1+B$46)/($A48-B$46)/(1+$A48)^$L$14+SUM($B$23:$B$29))/Inputs!$C$34*(1+$B$5)^$B$31-$B$32*$B$31)/Inputs!$C$36*100</f>
        <v>2586.0225168965248</v>
      </c>
      <c r="C48" s="28">
        <f>((SUMPRODUCT($C$13:$L$13/(1+$A48)^$C$14:$L$14)+$L$13*(1+C$46)/($A48-C$46)/(1+$A48)^$L$14+SUM($B$23:$B$29))/Inputs!$C$34*(1+$B$5)^$B$31-$B$32*$B$31)/Inputs!$C$36*100</f>
        <v>2733.9150411355618</v>
      </c>
      <c r="D48" s="28">
        <f>((SUMPRODUCT($C$13:$L$13/(1+$A48)^$C$14:$L$14)+$L$13*(1+D$46)/($A48-D$46)/(1+$A48)^$L$14+SUM($B$23:$B$29))/Inputs!$C$34*(1+$B$5)^$B$31-$B$32*$B$31)/Inputs!$C$36*100</f>
        <v>2905.4849212946806</v>
      </c>
      <c r="E48" s="28">
        <f>((SUMPRODUCT($C$13:$L$13/(1+$A48)^$C$14:$L$14)+$L$13*(1+E$46)/($A48-E$46)/(1+$A48)^$L$14+SUM($B$23:$B$29))/Inputs!$C$34*(1+$B$5)^$B$31-$B$32*$B$31)/Inputs!$C$36*100</f>
        <v>3106.9129879644743</v>
      </c>
      <c r="F48" s="28">
        <f>((SUMPRODUCT($C$13:$L$13/(1+$A48)^$C$14:$L$14)+$L$13*(1+F$46)/($A48-F$46)/(1+$A48)^$L$14+SUM($B$23:$B$29))/Inputs!$C$34*(1+$B$5)^$B$31-$B$32*$B$31)/Inputs!$C$36*100</f>
        <v>3346.736397903358</v>
      </c>
    </row>
    <row r="49" spans="1:6" x14ac:dyDescent="0.35">
      <c r="A49" s="31">
        <f>$B$9+0</f>
        <v>8.2461587661319988E-2</v>
      </c>
      <c r="B49" s="28">
        <f>((SUMPRODUCT($C$13:$L$13/(1+$A49)^$C$14:$L$14)+$L$13*(1+B$46)/($A49-B$46)/(1+$A49)^$L$14+SUM($B$23:$B$29))/Inputs!$C$34*(1+$B$5)^$B$31-$B$32*$B$31)/Inputs!$C$36*100</f>
        <v>2355.1265741434036</v>
      </c>
      <c r="C49" s="28">
        <f>((SUMPRODUCT($C$13:$L$13/(1+$A49)^$C$14:$L$14)+$L$13*(1+C$46)/($A49-C$46)/(1+$A49)^$L$14+SUM($B$23:$B$29))/Inputs!$C$34*(1+$B$5)^$B$31-$B$32*$B$31)/Inputs!$C$36*100</f>
        <v>2478.9564549127122</v>
      </c>
      <c r="D49" s="28">
        <f>((SUMPRODUCT($C$13:$L$13/(1+$A49)^$C$14:$L$14)+$L$13*(1+D$46)/($A49-D$46)/(1+$A49)^$L$14+SUM($B$23:$B$29))/Inputs!$C$34*(1+$B$5)^$B$31-$B$32*$B$31)/Inputs!$C$36*100</f>
        <v>2621.1419488631068</v>
      </c>
      <c r="E49" s="28">
        <f>((SUMPRODUCT($C$13:$L$13/(1+$A49)^$C$14:$L$14)+$L$13*(1+E$46)/($A49-E$46)/(1+$A49)^$L$14+SUM($B$23:$B$29))/Inputs!$C$34*(1+$B$5)^$B$31-$B$32*$B$31)/Inputs!$C$36*100</f>
        <v>2786.0911123380993</v>
      </c>
      <c r="F49" s="28">
        <f>((SUMPRODUCT($C$13:$L$13/(1+$A49)^$C$14:$L$14)+$L$13*(1+F$46)/($A49-F$46)/(1+$A49)^$L$14+SUM($B$23:$B$29))/Inputs!$C$34*(1+$B$5)^$B$31-$B$32*$B$31)/Inputs!$C$36*100</f>
        <v>2979.7462636196242</v>
      </c>
    </row>
    <row r="50" spans="1:6" x14ac:dyDescent="0.35">
      <c r="A50" s="31">
        <f>$B$9+0.005</f>
        <v>8.7461587661319992E-2</v>
      </c>
      <c r="B50" s="28">
        <f>((SUMPRODUCT($C$13:$L$13/(1+$A50)^$C$14:$L$14)+$L$13*(1+B$46)/($A50-B$46)/(1+$A50)^$L$14+SUM($B$23:$B$29))/Inputs!$C$34*(1+$B$5)^$B$31-$B$32*$B$31)/Inputs!$C$36*100</f>
        <v>2152.4092338382461</v>
      </c>
      <c r="C50" s="28">
        <f>((SUMPRODUCT($C$13:$L$13/(1+$A50)^$C$14:$L$14)+$L$13*(1+C$46)/($A50-C$46)/(1+$A50)^$L$14+SUM($B$23:$B$29))/Inputs!$C$34*(1+$B$5)^$B$31-$B$32*$B$31)/Inputs!$C$36*100</f>
        <v>2257.0424176953911</v>
      </c>
      <c r="D50" s="28">
        <f>((SUMPRODUCT($C$13:$L$13/(1+$A50)^$C$14:$L$14)+$L$13*(1+D$46)/($A50-D$46)/(1+$A50)^$L$14+SUM($B$23:$B$29))/Inputs!$C$34*(1+$B$5)^$B$31-$B$32*$B$31)/Inputs!$C$36*100</f>
        <v>2376.1154154227752</v>
      </c>
      <c r="E50" s="28">
        <f>((SUMPRODUCT($C$13:$L$13/(1+$A50)^$C$14:$L$14)+$L$13*(1+E$46)/($A50-E$46)/(1+$A50)^$L$14+SUM($B$23:$B$29))/Inputs!$C$34*(1+$B$5)^$B$31-$B$32*$B$31)/Inputs!$C$36*100</f>
        <v>2512.8389016511373</v>
      </c>
      <c r="F50" s="28">
        <f>((SUMPRODUCT($C$13:$L$13/(1+$A50)^$C$14:$L$14)+$L$13*(1+F$46)/($A50-F$46)/(1+$A50)^$L$14+SUM($B$23:$B$29))/Inputs!$C$34*(1+$B$5)^$B$31-$B$32*$B$31)/Inputs!$C$36*100</f>
        <v>2671.4515987285267</v>
      </c>
    </row>
    <row r="51" spans="1:6" x14ac:dyDescent="0.35">
      <c r="A51" s="31">
        <f>$B$9+0.01</f>
        <v>9.2461587661319983E-2</v>
      </c>
      <c r="B51" s="28">
        <f>((SUMPRODUCT($C$13:$L$13/(1+$A51)^$C$14:$L$14)+$L$13*(1+B$46)/($A51-B$46)/(1+$A51)^$L$14+SUM($B$23:$B$29))/Inputs!$C$34*(1+$B$5)^$B$31-$B$32*$B$31)/Inputs!$C$36*100</f>
        <v>1973.0310072181123</v>
      </c>
      <c r="C51" s="28">
        <f>((SUMPRODUCT($C$13:$L$13/(1+$A51)^$C$14:$L$14)+$L$13*(1+C$46)/($A51-C$46)/(1+$A51)^$L$14+SUM($B$23:$B$29))/Inputs!$C$34*(1+$B$5)^$B$31-$B$32*$B$31)/Inputs!$C$36*100</f>
        <v>2062.156993951764</v>
      </c>
      <c r="D51" s="28">
        <f>((SUMPRODUCT($C$13:$L$13/(1+$A51)^$C$14:$L$14)+$L$13*(1+D$46)/($A51-D$46)/(1+$A51)^$L$14+SUM($B$23:$B$29))/Inputs!$C$34*(1+$B$5)^$B$31-$B$32*$B$31)/Inputs!$C$36*100</f>
        <v>2162.7888107909557</v>
      </c>
      <c r="E51" s="28">
        <f>((SUMPRODUCT($C$13:$L$13/(1+$A51)^$C$14:$L$14)+$L$13*(1+E$46)/($A51-E$46)/(1+$A51)^$L$14+SUM($B$23:$B$29))/Inputs!$C$34*(1+$B$5)^$B$31-$B$32*$B$31)/Inputs!$C$36*100</f>
        <v>2277.3082362359014</v>
      </c>
      <c r="F51" s="28">
        <f>((SUMPRODUCT($C$13:$L$13/(1+$A51)^$C$14:$L$14)+$L$13*(1+F$46)/($A51-F$46)/(1+$A51)^$L$14+SUM($B$23:$B$29))/Inputs!$C$34*(1+$B$5)^$B$31-$B$32*$B$31)/Inputs!$C$36*100</f>
        <v>2408.8031627644968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3"/>
  <sheetViews>
    <sheetView showGridLines="0" workbookViewId="0"/>
  </sheetViews>
  <sheetFormatPr defaultRowHeight="14.5" x14ac:dyDescent="0.35"/>
  <cols>
    <col min="1" max="1" width="50" customWidth="1"/>
    <col min="2" max="10" width="12" customWidth="1"/>
  </cols>
  <sheetData>
    <row r="1" spans="1:12" ht="20" x14ac:dyDescent="0.4">
      <c r="A1" s="10" t="s">
        <v>176</v>
      </c>
    </row>
    <row r="2" spans="1:12" x14ac:dyDescent="0.35">
      <c r="A2" s="2" t="s">
        <v>177</v>
      </c>
    </row>
    <row r="4" spans="1:12" x14ac:dyDescent="0.35">
      <c r="A4" s="17" t="s">
        <v>178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x14ac:dyDescent="0.35">
      <c r="A5" s="6" t="s">
        <v>179</v>
      </c>
      <c r="B5" s="16">
        <v>119394</v>
      </c>
    </row>
    <row r="6" spans="1:12" x14ac:dyDescent="0.35">
      <c r="A6" s="6" t="s">
        <v>180</v>
      </c>
      <c r="B6" s="16">
        <v>7902</v>
      </c>
    </row>
    <row r="7" spans="1:12" x14ac:dyDescent="0.35">
      <c r="A7" s="6" t="s">
        <v>181</v>
      </c>
      <c r="B7" s="14">
        <v>1.9280700872740669E-2</v>
      </c>
    </row>
    <row r="8" spans="1:12" x14ac:dyDescent="0.35">
      <c r="A8" s="6" t="s">
        <v>182</v>
      </c>
      <c r="B8" s="14">
        <v>1.541953532003283E-2</v>
      </c>
    </row>
    <row r="9" spans="1:12" x14ac:dyDescent="0.35">
      <c r="A9" s="6" t="s">
        <v>183</v>
      </c>
      <c r="B9" s="14">
        <v>3.3883380919193962E-2</v>
      </c>
    </row>
    <row r="10" spans="1:12" x14ac:dyDescent="0.35">
      <c r="A10" s="6" t="s">
        <v>184</v>
      </c>
      <c r="B10" s="14">
        <v>4.0000000000000001E-3</v>
      </c>
    </row>
    <row r="11" spans="1:12" x14ac:dyDescent="0.35">
      <c r="A11" s="6" t="s">
        <v>185</v>
      </c>
      <c r="B11" s="15">
        <v>0.28000000000000003</v>
      </c>
    </row>
    <row r="12" spans="1:12" x14ac:dyDescent="0.35">
      <c r="A12" s="6" t="s">
        <v>186</v>
      </c>
      <c r="B12" s="15">
        <v>0.3</v>
      </c>
    </row>
    <row r="13" spans="1:12" x14ac:dyDescent="0.35">
      <c r="A13" s="17" t="s">
        <v>187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x14ac:dyDescent="0.35">
      <c r="A14" s="6" t="s">
        <v>188</v>
      </c>
      <c r="B14" s="40">
        <v>7.5</v>
      </c>
    </row>
    <row r="15" spans="1:12" x14ac:dyDescent="0.35">
      <c r="A15" s="6" t="s">
        <v>189</v>
      </c>
      <c r="B15" s="40">
        <v>7.5</v>
      </c>
    </row>
    <row r="16" spans="1:12" x14ac:dyDescent="0.35">
      <c r="A16" s="6" t="s">
        <v>190</v>
      </c>
      <c r="B16" s="19">
        <v>5</v>
      </c>
    </row>
    <row r="17" spans="1:12" x14ac:dyDescent="0.35">
      <c r="A17" s="6" t="s">
        <v>191</v>
      </c>
      <c r="B17" s="14">
        <v>0.01</v>
      </c>
    </row>
    <row r="18" spans="1:12" x14ac:dyDescent="0.35">
      <c r="A18" s="6" t="s">
        <v>192</v>
      </c>
      <c r="B18" s="14">
        <v>0.01</v>
      </c>
    </row>
    <row r="19" spans="1:12" x14ac:dyDescent="0.35">
      <c r="A19" s="6" t="s">
        <v>193</v>
      </c>
      <c r="B19" s="14">
        <v>0.01</v>
      </c>
    </row>
    <row r="20" spans="1:12" x14ac:dyDescent="0.35">
      <c r="A20" s="6" t="s">
        <v>194</v>
      </c>
      <c r="B20" s="14">
        <v>0.01</v>
      </c>
    </row>
    <row r="21" spans="1:12" x14ac:dyDescent="0.35">
      <c r="A21" s="6" t="s">
        <v>195</v>
      </c>
      <c r="B21" s="15">
        <v>0</v>
      </c>
    </row>
    <row r="22" spans="1:12" x14ac:dyDescent="0.35">
      <c r="A22" s="17" t="s">
        <v>196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x14ac:dyDescent="0.35">
      <c r="A23" s="6" t="s">
        <v>197</v>
      </c>
      <c r="B23" s="40">
        <v>3</v>
      </c>
    </row>
    <row r="24" spans="1:12" x14ac:dyDescent="0.35">
      <c r="A24" s="6" t="s">
        <v>198</v>
      </c>
      <c r="B24" s="22">
        <v>1.5</v>
      </c>
    </row>
    <row r="25" spans="1:12" x14ac:dyDescent="0.35">
      <c r="A25" s="6" t="s">
        <v>199</v>
      </c>
      <c r="B25" s="22">
        <v>0.5</v>
      </c>
    </row>
    <row r="26" spans="1:12" x14ac:dyDescent="0.35">
      <c r="A26" s="6" t="s">
        <v>200</v>
      </c>
      <c r="B26" s="15">
        <v>0.7</v>
      </c>
    </row>
    <row r="27" spans="1:12" x14ac:dyDescent="0.35">
      <c r="A27" s="6" t="s">
        <v>201</v>
      </c>
      <c r="B27" s="14">
        <v>4.0500001907348628E-2</v>
      </c>
    </row>
    <row r="28" spans="1:12" x14ac:dyDescent="0.35">
      <c r="A28" s="6" t="s">
        <v>202</v>
      </c>
      <c r="B28" s="14">
        <v>3.5000000000000003E-2</v>
      </c>
    </row>
    <row r="29" spans="1:12" x14ac:dyDescent="0.35">
      <c r="A29" s="6" t="s">
        <v>203</v>
      </c>
      <c r="B29" s="14">
        <v>7.4999999999999997E-2</v>
      </c>
    </row>
    <row r="30" spans="1:12" x14ac:dyDescent="0.35">
      <c r="A30" s="6" t="s">
        <v>204</v>
      </c>
      <c r="B30" s="14">
        <v>0.08</v>
      </c>
    </row>
    <row r="31" spans="1:12" x14ac:dyDescent="0.35">
      <c r="A31" s="6" t="s">
        <v>205</v>
      </c>
      <c r="B31" s="14">
        <v>0.03</v>
      </c>
    </row>
    <row r="32" spans="1:12" x14ac:dyDescent="0.35">
      <c r="A32" s="6" t="s">
        <v>206</v>
      </c>
      <c r="B32" s="22">
        <v>0.75</v>
      </c>
    </row>
    <row r="33" spans="1:12" x14ac:dyDescent="0.35">
      <c r="A33" s="6" t="s">
        <v>207</v>
      </c>
      <c r="B33" s="14">
        <v>0.03</v>
      </c>
    </row>
    <row r="34" spans="1:12" x14ac:dyDescent="0.35">
      <c r="A34" s="6" t="s">
        <v>208</v>
      </c>
      <c r="B34" s="14">
        <v>5.0000000000000001E-3</v>
      </c>
    </row>
    <row r="35" spans="1:12" x14ac:dyDescent="0.35">
      <c r="A35" s="6" t="s">
        <v>209</v>
      </c>
      <c r="B35" s="14">
        <v>0.01</v>
      </c>
    </row>
    <row r="36" spans="1:12" x14ac:dyDescent="0.35">
      <c r="A36" s="6" t="s">
        <v>210</v>
      </c>
      <c r="B36" s="15">
        <v>1</v>
      </c>
    </row>
    <row r="37" spans="1:12" x14ac:dyDescent="0.35">
      <c r="A37" s="6" t="s">
        <v>211</v>
      </c>
      <c r="B37" s="14">
        <v>2.2499999999999999E-2</v>
      </c>
    </row>
    <row r="38" spans="1:12" x14ac:dyDescent="0.35">
      <c r="A38" s="6" t="s">
        <v>212</v>
      </c>
      <c r="B38" s="19">
        <v>7</v>
      </c>
    </row>
    <row r="39" spans="1:12" x14ac:dyDescent="0.35">
      <c r="A39" s="6" t="s">
        <v>213</v>
      </c>
      <c r="B39" s="19">
        <v>1</v>
      </c>
    </row>
    <row r="41" spans="1:12" x14ac:dyDescent="0.35">
      <c r="A41" s="17" t="s">
        <v>214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x14ac:dyDescent="0.35">
      <c r="A42" s="26" t="s">
        <v>215</v>
      </c>
      <c r="B42" s="34">
        <f>$B$14*$B$6</f>
        <v>59265</v>
      </c>
    </row>
    <row r="43" spans="1:12" x14ac:dyDescent="0.35">
      <c r="A43" s="6" t="s">
        <v>216</v>
      </c>
      <c r="B43" s="28">
        <f>$B$6-$B$5*$B$10</f>
        <v>7424.424</v>
      </c>
    </row>
    <row r="44" spans="1:12" x14ac:dyDescent="0.35">
      <c r="A44" s="6" t="s">
        <v>217</v>
      </c>
      <c r="B44" s="33">
        <f>MIN(1,$B$26*B42/(($B$23+$B$24+$B$25)*B43))</f>
        <v>1</v>
      </c>
    </row>
    <row r="45" spans="1:12" x14ac:dyDescent="0.35">
      <c r="A45" s="6" t="s">
        <v>218</v>
      </c>
      <c r="B45" s="28">
        <f>$B$23*B43*B44</f>
        <v>22273.272000000001</v>
      </c>
    </row>
    <row r="46" spans="1:12" x14ac:dyDescent="0.35">
      <c r="A46" s="6" t="s">
        <v>219</v>
      </c>
      <c r="B46" s="28">
        <f>$B$24*B43*B44</f>
        <v>11136.636</v>
      </c>
    </row>
    <row r="47" spans="1:12" x14ac:dyDescent="0.35">
      <c r="A47" s="6" t="s">
        <v>220</v>
      </c>
      <c r="B47" s="28">
        <f>$B$25*B43*B44</f>
        <v>3712.212</v>
      </c>
    </row>
    <row r="48" spans="1:12" x14ac:dyDescent="0.35">
      <c r="A48" s="26" t="s">
        <v>221</v>
      </c>
      <c r="B48" s="34">
        <f>B45+B46+B47</f>
        <v>37122.120000000003</v>
      </c>
    </row>
    <row r="49" spans="1:12" x14ac:dyDescent="0.35">
      <c r="A49" s="6" t="s">
        <v>222</v>
      </c>
      <c r="B49" s="28">
        <f>$B$32*B43</f>
        <v>5568.3180000000002</v>
      </c>
    </row>
    <row r="50" spans="1:12" x14ac:dyDescent="0.35">
      <c r="A50" s="6" t="s">
        <v>223</v>
      </c>
      <c r="B50" s="28">
        <f>$B$37*B48+0.01*B49</f>
        <v>890.93088</v>
      </c>
    </row>
    <row r="51" spans="1:12" x14ac:dyDescent="0.35">
      <c r="A51" s="6" t="s">
        <v>224</v>
      </c>
      <c r="B51" s="28">
        <f>$B$17*B42</f>
        <v>592.65</v>
      </c>
    </row>
    <row r="52" spans="1:12" x14ac:dyDescent="0.35">
      <c r="A52" s="6" t="s">
        <v>225</v>
      </c>
      <c r="B52" s="28">
        <f>$B$18*B42</f>
        <v>592.65</v>
      </c>
    </row>
    <row r="53" spans="1:12" x14ac:dyDescent="0.35">
      <c r="A53" s="6" t="s">
        <v>226</v>
      </c>
      <c r="B53" s="28">
        <f>$B$20*$B$5</f>
        <v>1193.94</v>
      </c>
    </row>
    <row r="54" spans="1:12" x14ac:dyDescent="0.35">
      <c r="A54" s="26" t="s">
        <v>227</v>
      </c>
      <c r="B54" s="34">
        <f>B42+B51+B50+B52+B53</f>
        <v>62535.170880000005</v>
      </c>
    </row>
    <row r="55" spans="1:12" x14ac:dyDescent="0.35">
      <c r="A55" s="26" t="s">
        <v>228</v>
      </c>
      <c r="B55" s="34">
        <f>B54-B48</f>
        <v>25413.050880000003</v>
      </c>
    </row>
    <row r="57" spans="1:12" x14ac:dyDescent="0.35">
      <c r="A57" s="17" t="s">
        <v>229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 x14ac:dyDescent="0.35">
      <c r="A58" s="11"/>
      <c r="B58" s="12" t="s">
        <v>230</v>
      </c>
      <c r="C58" s="12" t="s">
        <v>231</v>
      </c>
      <c r="D58" s="12" t="s">
        <v>232</v>
      </c>
      <c r="E58" s="12" t="s">
        <v>233</v>
      </c>
      <c r="F58" s="12" t="s">
        <v>234</v>
      </c>
      <c r="G58" s="12" t="s">
        <v>235</v>
      </c>
      <c r="H58" s="12" t="s">
        <v>236</v>
      </c>
      <c r="I58" s="12" t="s">
        <v>237</v>
      </c>
    </row>
    <row r="59" spans="1:12" x14ac:dyDescent="0.35">
      <c r="A59" s="6" t="s">
        <v>238</v>
      </c>
      <c r="C59" s="15">
        <v>0</v>
      </c>
      <c r="D59" s="15">
        <v>0.01</v>
      </c>
      <c r="E59" s="15">
        <v>0.02</v>
      </c>
      <c r="F59" s="15">
        <v>0.02</v>
      </c>
      <c r="G59" s="15">
        <v>0.02</v>
      </c>
      <c r="H59" s="15">
        <v>0.02</v>
      </c>
      <c r="I59" s="15">
        <v>0.02</v>
      </c>
    </row>
    <row r="60" spans="1:12" x14ac:dyDescent="0.35">
      <c r="A60" s="6" t="s">
        <v>239</v>
      </c>
      <c r="C60" s="14">
        <v>6.6184230363334845E-2</v>
      </c>
      <c r="D60" s="14">
        <v>6.6184230363334845E-2</v>
      </c>
      <c r="E60" s="14">
        <v>6.6184230363334845E-2</v>
      </c>
      <c r="F60" s="14">
        <v>6.6184230363334845E-2</v>
      </c>
      <c r="G60" s="14">
        <v>6.6184230363334845E-2</v>
      </c>
      <c r="H60" s="14">
        <v>6.6184230363334845E-2</v>
      </c>
      <c r="I60" s="14">
        <v>6.6184230363334845E-2</v>
      </c>
    </row>
    <row r="61" spans="1:12" x14ac:dyDescent="0.35">
      <c r="A61" s="6" t="s">
        <v>95</v>
      </c>
      <c r="B61" s="28">
        <f>$B$5</f>
        <v>119394</v>
      </c>
      <c r="C61" s="28">
        <f t="shared" ref="C61:I61" si="0">B61*(1+C59)</f>
        <v>119394</v>
      </c>
      <c r="D61" s="28">
        <f t="shared" si="0"/>
        <v>120587.94</v>
      </c>
      <c r="E61" s="28">
        <f t="shared" si="0"/>
        <v>122999.6988</v>
      </c>
      <c r="F61" s="28">
        <f t="shared" si="0"/>
        <v>125459.692776</v>
      </c>
      <c r="G61" s="28">
        <f t="shared" si="0"/>
        <v>127968.88663152</v>
      </c>
      <c r="H61" s="28">
        <f t="shared" si="0"/>
        <v>130528.2643641504</v>
      </c>
      <c r="I61" s="28">
        <f t="shared" si="0"/>
        <v>133138.82965143339</v>
      </c>
    </row>
    <row r="62" spans="1:12" x14ac:dyDescent="0.35">
      <c r="A62" s="26" t="s">
        <v>240</v>
      </c>
      <c r="C62" s="28">
        <f t="shared" ref="C62:I62" si="1">C61*(C60-$B$10)</f>
        <v>7424.424</v>
      </c>
      <c r="D62" s="28">
        <f t="shared" si="1"/>
        <v>7498.66824</v>
      </c>
      <c r="E62" s="28">
        <f t="shared" si="1"/>
        <v>7648.6416048000001</v>
      </c>
      <c r="F62" s="28">
        <f t="shared" si="1"/>
        <v>7801.6144368959995</v>
      </c>
      <c r="G62" s="28">
        <f t="shared" si="1"/>
        <v>7957.6467256339201</v>
      </c>
      <c r="H62" s="28">
        <f t="shared" si="1"/>
        <v>8116.7996601465984</v>
      </c>
      <c r="I62" s="28">
        <f t="shared" si="1"/>
        <v>8279.1356533495291</v>
      </c>
    </row>
    <row r="63" spans="1:12" x14ac:dyDescent="0.35">
      <c r="A63" s="6" t="s">
        <v>97</v>
      </c>
      <c r="C63" s="28">
        <f t="shared" ref="C63:I63" si="2">C61*$B$7</f>
        <v>2301.9999999999995</v>
      </c>
      <c r="D63" s="28">
        <f t="shared" si="2"/>
        <v>2325.0199999999995</v>
      </c>
      <c r="E63" s="28">
        <f t="shared" si="2"/>
        <v>2371.5203999999994</v>
      </c>
      <c r="F63" s="28">
        <f t="shared" si="2"/>
        <v>2418.9508079999991</v>
      </c>
      <c r="G63" s="28">
        <f t="shared" si="2"/>
        <v>2467.3298241599996</v>
      </c>
      <c r="H63" s="28">
        <f t="shared" si="2"/>
        <v>2516.6764206431994</v>
      </c>
      <c r="I63" s="28">
        <f t="shared" si="2"/>
        <v>2567.0099490560633</v>
      </c>
    </row>
    <row r="64" spans="1:12" x14ac:dyDescent="0.35">
      <c r="A64" s="6" t="s">
        <v>241</v>
      </c>
      <c r="C64" s="28">
        <f t="shared" ref="C64:I64" si="3">C62-C63</f>
        <v>5122.4240000000009</v>
      </c>
      <c r="D64" s="28">
        <f t="shared" si="3"/>
        <v>5173.6482400000004</v>
      </c>
      <c r="E64" s="28">
        <f t="shared" si="3"/>
        <v>5277.1212048000007</v>
      </c>
      <c r="F64" s="28">
        <f t="shared" si="3"/>
        <v>5382.6636288959999</v>
      </c>
      <c r="G64" s="28">
        <f t="shared" si="3"/>
        <v>5490.3169014739206</v>
      </c>
      <c r="H64" s="28">
        <f t="shared" si="3"/>
        <v>5600.1232395033985</v>
      </c>
      <c r="I64" s="28">
        <f t="shared" si="3"/>
        <v>5712.1257042934658</v>
      </c>
    </row>
    <row r="65" spans="1:9" x14ac:dyDescent="0.35">
      <c r="A65" s="6" t="s">
        <v>242</v>
      </c>
      <c r="C65" s="28">
        <f t="shared" ref="C65:I65" si="4">C61*$B$8</f>
        <v>1840.9999999999998</v>
      </c>
      <c r="D65" s="28">
        <f t="shared" si="4"/>
        <v>1859.4099999999996</v>
      </c>
      <c r="E65" s="28">
        <f t="shared" si="4"/>
        <v>1896.5981999999997</v>
      </c>
      <c r="F65" s="28">
        <f t="shared" si="4"/>
        <v>1934.5301639999996</v>
      </c>
      <c r="G65" s="28">
        <f t="shared" si="4"/>
        <v>1973.2207672799996</v>
      </c>
      <c r="H65" s="28">
        <f t="shared" si="4"/>
        <v>2012.6851826255995</v>
      </c>
      <c r="I65" s="28">
        <f t="shared" si="4"/>
        <v>2052.9388862781116</v>
      </c>
    </row>
    <row r="66" spans="1:9" x14ac:dyDescent="0.35">
      <c r="A66" s="6" t="s">
        <v>107</v>
      </c>
      <c r="C66" s="28">
        <f t="shared" ref="C66:I66" si="5">$B$9*(C61-B61)</f>
        <v>0</v>
      </c>
      <c r="D66" s="28">
        <f t="shared" si="5"/>
        <v>40.454723814662515</v>
      </c>
      <c r="E66" s="28">
        <f t="shared" si="5"/>
        <v>81.718542105617985</v>
      </c>
      <c r="F66" s="28">
        <f t="shared" si="5"/>
        <v>83.352912947730417</v>
      </c>
      <c r="G66" s="28">
        <f t="shared" si="5"/>
        <v>85.019971206685199</v>
      </c>
      <c r="H66" s="28">
        <f t="shared" si="5"/>
        <v>86.720370630818707</v>
      </c>
      <c r="I66" s="28">
        <f t="shared" si="5"/>
        <v>88.454778043434771</v>
      </c>
    </row>
    <row r="67" spans="1:9" x14ac:dyDescent="0.35">
      <c r="A67" s="6" t="s">
        <v>61</v>
      </c>
      <c r="C67" s="28">
        <f t="shared" ref="C67:I67" si="6">$B$20*C61</f>
        <v>1193.94</v>
      </c>
      <c r="D67" s="28">
        <f t="shared" si="6"/>
        <v>1205.8794</v>
      </c>
      <c r="E67" s="28">
        <f t="shared" si="6"/>
        <v>1229.9969880000001</v>
      </c>
      <c r="F67" s="28">
        <f t="shared" si="6"/>
        <v>1254.59692776</v>
      </c>
      <c r="G67" s="28">
        <f t="shared" si="6"/>
        <v>1279.6888663152001</v>
      </c>
      <c r="H67" s="28">
        <f t="shared" si="6"/>
        <v>1305.2826436415039</v>
      </c>
      <c r="I67" s="28">
        <f t="shared" si="6"/>
        <v>1331.3882965143339</v>
      </c>
    </row>
    <row r="68" spans="1:9" x14ac:dyDescent="0.35">
      <c r="A68" s="6" t="s">
        <v>243</v>
      </c>
      <c r="C68" s="28">
        <f t="shared" ref="C68:I68" si="7">MIN(B87,$B$35*$B$45)</f>
        <v>222.73272</v>
      </c>
      <c r="D68" s="28">
        <f t="shared" ca="1" si="7"/>
        <v>222.73272</v>
      </c>
      <c r="E68" s="28">
        <f t="shared" ca="1" si="7"/>
        <v>222.73272</v>
      </c>
      <c r="F68" s="28">
        <f t="shared" ca="1" si="7"/>
        <v>222.73272</v>
      </c>
      <c r="G68" s="28">
        <f t="shared" ca="1" si="7"/>
        <v>222.73272</v>
      </c>
      <c r="H68" s="28">
        <f t="shared" ca="1" si="7"/>
        <v>222.73272</v>
      </c>
      <c r="I68" s="28">
        <f t="shared" ca="1" si="7"/>
        <v>222.73272</v>
      </c>
    </row>
    <row r="69" spans="1:9" x14ac:dyDescent="0.35">
      <c r="A69" s="6" t="s">
        <v>244</v>
      </c>
      <c r="C69" s="28">
        <f t="shared" ref="C69:I69" ca="1" si="8">IFERROR(($B$27+$B$33)*IF($B$39=1,(B86+C86)/2,B86)+$B$34*MAX($B$49-IF($B$39=1,(B86+C86)/2,B86),0),0)</f>
        <v>27.84159</v>
      </c>
      <c r="D69" s="28">
        <f t="shared" ca="1" si="8"/>
        <v>27.84159</v>
      </c>
      <c r="E69" s="28">
        <f t="shared" ca="1" si="8"/>
        <v>27.84159</v>
      </c>
      <c r="F69" s="28">
        <f t="shared" ca="1" si="8"/>
        <v>27.84159</v>
      </c>
      <c r="G69" s="28">
        <f t="shared" ca="1" si="8"/>
        <v>27.84159</v>
      </c>
      <c r="H69" s="28">
        <f t="shared" ca="1" si="8"/>
        <v>27.84159</v>
      </c>
      <c r="I69" s="28">
        <f t="shared" ca="1" si="8"/>
        <v>27.84159</v>
      </c>
    </row>
    <row r="70" spans="1:9" x14ac:dyDescent="0.35">
      <c r="A70" s="6" t="s">
        <v>245</v>
      </c>
      <c r="C70" s="28">
        <f t="shared" ref="C70:I70" ca="1" si="9">IFERROR(($B$27+$B$28)*IF($B$39=1,(B87+C87)/2,B87),0)</f>
        <v>1604.2104086381216</v>
      </c>
      <c r="D70" s="28">
        <f t="shared" ca="1" si="9"/>
        <v>1443.8166791276581</v>
      </c>
      <c r="E70" s="28">
        <f t="shared" ca="1" si="9"/>
        <v>1270.0116136010934</v>
      </c>
      <c r="F70" s="28">
        <f t="shared" ca="1" si="9"/>
        <v>1077.7806684062641</v>
      </c>
      <c r="G70" s="28">
        <f t="shared" ca="1" si="9"/>
        <v>864.81657872966821</v>
      </c>
      <c r="H70" s="28">
        <f t="shared" ca="1" si="9"/>
        <v>632.29832557697148</v>
      </c>
      <c r="I70" s="28">
        <f t="shared" ca="1" si="9"/>
        <v>380.42304947958911</v>
      </c>
    </row>
    <row r="71" spans="1:9" x14ac:dyDescent="0.35">
      <c r="A71" s="6" t="s">
        <v>246</v>
      </c>
      <c r="C71" s="28">
        <f t="shared" ref="C71:I71" si="10">$B$29*B88</f>
        <v>835.24770000000001</v>
      </c>
      <c r="D71" s="28">
        <f t="shared" si="10"/>
        <v>835.24770000000001</v>
      </c>
      <c r="E71" s="28">
        <f t="shared" si="10"/>
        <v>835.24770000000001</v>
      </c>
      <c r="F71" s="28">
        <f t="shared" si="10"/>
        <v>835.24770000000001</v>
      </c>
      <c r="G71" s="28">
        <f t="shared" si="10"/>
        <v>835.24770000000001</v>
      </c>
      <c r="H71" s="28">
        <f t="shared" si="10"/>
        <v>835.24770000000001</v>
      </c>
      <c r="I71" s="28">
        <f t="shared" si="10"/>
        <v>835.24770000000001</v>
      </c>
    </row>
    <row r="72" spans="1:9" x14ac:dyDescent="0.35">
      <c r="A72" s="6" t="s">
        <v>247</v>
      </c>
      <c r="C72" s="28">
        <f t="shared" ref="C72:I72" si="11">$B$30*B89</f>
        <v>296.97696000000002</v>
      </c>
      <c r="D72" s="28">
        <f t="shared" si="11"/>
        <v>305.88626879999998</v>
      </c>
      <c r="E72" s="28">
        <f t="shared" si="11"/>
        <v>315.06285686399997</v>
      </c>
      <c r="F72" s="28">
        <f t="shared" si="11"/>
        <v>324.51474256991997</v>
      </c>
      <c r="G72" s="28">
        <f t="shared" si="11"/>
        <v>334.25018484701758</v>
      </c>
      <c r="H72" s="28">
        <f t="shared" si="11"/>
        <v>344.27769039242816</v>
      </c>
      <c r="I72" s="28">
        <f t="shared" si="11"/>
        <v>354.60602110420098</v>
      </c>
    </row>
    <row r="73" spans="1:9" x14ac:dyDescent="0.35">
      <c r="A73" s="6" t="s">
        <v>248</v>
      </c>
      <c r="C73" s="28">
        <f t="shared" ref="C73:I73" si="12">$B$31*B89</f>
        <v>111.36636</v>
      </c>
      <c r="D73" s="28">
        <f t="shared" si="12"/>
        <v>114.7073508</v>
      </c>
      <c r="E73" s="28">
        <f t="shared" si="12"/>
        <v>118.14857132399999</v>
      </c>
      <c r="F73" s="28">
        <f t="shared" si="12"/>
        <v>121.69302846371998</v>
      </c>
      <c r="G73" s="28">
        <f t="shared" si="12"/>
        <v>125.34381931763158</v>
      </c>
      <c r="H73" s="28">
        <f t="shared" si="12"/>
        <v>129.10413389716055</v>
      </c>
      <c r="I73" s="28">
        <f t="shared" si="12"/>
        <v>132.97725791407538</v>
      </c>
    </row>
    <row r="74" spans="1:9" x14ac:dyDescent="0.35">
      <c r="A74" s="6" t="s">
        <v>249</v>
      </c>
      <c r="C74" s="28">
        <f t="shared" ref="C74:I74" ca="1" si="13">IFERROR(MAX($B$27-0.005,0)*IF($B$39=1,(B85+C85)/2,B85),0)</f>
        <v>42.384872277259824</v>
      </c>
      <c r="D74" s="28">
        <f t="shared" ca="1" si="13"/>
        <v>42.596796638646126</v>
      </c>
      <c r="E74" s="28">
        <f t="shared" ca="1" si="13"/>
        <v>43.236808210032741</v>
      </c>
      <c r="F74" s="28">
        <f t="shared" ca="1" si="13"/>
        <v>44.101544374233399</v>
      </c>
      <c r="G74" s="28">
        <f t="shared" ca="1" si="13"/>
        <v>44.98357526171808</v>
      </c>
      <c r="H74" s="28">
        <f t="shared" ca="1" si="13"/>
        <v>45.883246766952432</v>
      </c>
      <c r="I74" s="28">
        <f t="shared" ca="1" si="13"/>
        <v>46.800911702291472</v>
      </c>
    </row>
    <row r="75" spans="1:9" x14ac:dyDescent="0.35">
      <c r="A75" s="6" t="s">
        <v>250</v>
      </c>
      <c r="C75" s="28">
        <f t="shared" ref="C75:I75" ca="1" si="14">C69+C70+C71+C72-C74</f>
        <v>2721.8917863608617</v>
      </c>
      <c r="D75" s="28">
        <f t="shared" ca="1" si="14"/>
        <v>2570.1954412890118</v>
      </c>
      <c r="E75" s="28">
        <f t="shared" ca="1" si="14"/>
        <v>2404.9269522550603</v>
      </c>
      <c r="F75" s="28">
        <f t="shared" ca="1" si="14"/>
        <v>2221.2831566019509</v>
      </c>
      <c r="G75" s="28">
        <f t="shared" ca="1" si="14"/>
        <v>2017.1724783149677</v>
      </c>
      <c r="H75" s="28">
        <f t="shared" ca="1" si="14"/>
        <v>1793.7820592024473</v>
      </c>
      <c r="I75" s="28">
        <f t="shared" ca="1" si="14"/>
        <v>1551.3174488814986</v>
      </c>
    </row>
    <row r="76" spans="1:9" x14ac:dyDescent="0.35">
      <c r="A76" s="6" t="s">
        <v>251</v>
      </c>
      <c r="C76" s="28">
        <f t="shared" ref="C76:I76" ca="1" si="15">C69+C70+C71+C72+C73+$B$50/$B$38-C74</f>
        <v>2960.5339863608615</v>
      </c>
      <c r="D76" s="28">
        <f t="shared" ca="1" si="15"/>
        <v>2812.1786320890114</v>
      </c>
      <c r="E76" s="28">
        <f t="shared" ca="1" si="15"/>
        <v>2650.35136357906</v>
      </c>
      <c r="F76" s="28">
        <f t="shared" ca="1" si="15"/>
        <v>2470.2520250656708</v>
      </c>
      <c r="G76" s="28">
        <f t="shared" ca="1" si="15"/>
        <v>2269.792137632599</v>
      </c>
      <c r="H76" s="28">
        <f t="shared" ca="1" si="15"/>
        <v>2050.1620330996075</v>
      </c>
      <c r="I76" s="28">
        <f t="shared" ca="1" si="15"/>
        <v>1811.570546795574</v>
      </c>
    </row>
    <row r="77" spans="1:9" x14ac:dyDescent="0.35">
      <c r="A77" s="6" t="s">
        <v>252</v>
      </c>
      <c r="C77" s="28">
        <f t="shared" ref="C77:I77" ca="1" si="16">MIN(C76,MAX($B$12*C62,0))</f>
        <v>2227.3271999999997</v>
      </c>
      <c r="D77" s="28">
        <f t="shared" ca="1" si="16"/>
        <v>2249.6004720000001</v>
      </c>
      <c r="E77" s="28">
        <f t="shared" ca="1" si="16"/>
        <v>2294.59248144</v>
      </c>
      <c r="F77" s="28">
        <f t="shared" ca="1" si="16"/>
        <v>2340.4843310687997</v>
      </c>
      <c r="G77" s="28">
        <f t="shared" ca="1" si="16"/>
        <v>2269.792137632599</v>
      </c>
      <c r="H77" s="28">
        <f t="shared" ca="1" si="16"/>
        <v>2050.1620330996075</v>
      </c>
      <c r="I77" s="28">
        <f t="shared" ca="1" si="16"/>
        <v>1811.570546795574</v>
      </c>
    </row>
    <row r="78" spans="1:9" x14ac:dyDescent="0.35">
      <c r="A78" s="6" t="s">
        <v>253</v>
      </c>
      <c r="C78" s="28">
        <f t="shared" ref="C78:I78" ca="1" si="17">$B$11*MAX(C64-C77,0)</f>
        <v>810.62710400000037</v>
      </c>
      <c r="D78" s="28">
        <f t="shared" ca="1" si="17"/>
        <v>818.73337504000017</v>
      </c>
      <c r="E78" s="28">
        <f t="shared" ca="1" si="17"/>
        <v>835.10804254080028</v>
      </c>
      <c r="F78" s="28">
        <f t="shared" ca="1" si="17"/>
        <v>851.81020339161614</v>
      </c>
      <c r="G78" s="28">
        <f t="shared" ca="1" si="17"/>
        <v>901.74693387557011</v>
      </c>
      <c r="H78" s="28">
        <f t="shared" ca="1" si="17"/>
        <v>993.98913779306156</v>
      </c>
      <c r="I78" s="28">
        <f t="shared" ca="1" si="17"/>
        <v>1092.1554440994098</v>
      </c>
    </row>
    <row r="79" spans="1:9" x14ac:dyDescent="0.35">
      <c r="A79" s="26" t="s">
        <v>254</v>
      </c>
      <c r="C79" s="28">
        <f t="shared" ref="C79:I79" ca="1" si="18">C62-C78-C65-C66</f>
        <v>4772.7968959999998</v>
      </c>
      <c r="D79" s="28">
        <f t="shared" ca="1" si="18"/>
        <v>4780.0701411453374</v>
      </c>
      <c r="E79" s="28">
        <f t="shared" ca="1" si="18"/>
        <v>4835.2168201535824</v>
      </c>
      <c r="F79" s="28">
        <f t="shared" ca="1" si="18"/>
        <v>4931.9211565566529</v>
      </c>
      <c r="G79" s="28">
        <f t="shared" ca="1" si="18"/>
        <v>4997.6590532716655</v>
      </c>
      <c r="H79" s="28">
        <f t="shared" ca="1" si="18"/>
        <v>5023.4049690971187</v>
      </c>
      <c r="I79" s="28">
        <f t="shared" ca="1" si="18"/>
        <v>5045.5865449285729</v>
      </c>
    </row>
    <row r="80" spans="1:9" x14ac:dyDescent="0.35">
      <c r="A80" s="6" t="s">
        <v>114</v>
      </c>
      <c r="C80" s="28">
        <f t="shared" ref="C80:I80" ca="1" si="19">B85+C79-C75-C68-C67</f>
        <v>1828.1723896391386</v>
      </c>
      <c r="D80" s="28">
        <f t="shared" ca="1" si="19"/>
        <v>1975.2025798563261</v>
      </c>
      <c r="E80" s="28">
        <f t="shared" ca="1" si="19"/>
        <v>2183.439559898522</v>
      </c>
      <c r="F80" s="28">
        <f t="shared" ca="1" si="19"/>
        <v>2463.3053401947018</v>
      </c>
      <c r="G80" s="28">
        <f t="shared" ca="1" si="19"/>
        <v>2732.6619164014974</v>
      </c>
      <c r="H80" s="28">
        <f t="shared" ca="1" si="19"/>
        <v>2981.2964125683679</v>
      </c>
      <c r="I80" s="28">
        <f t="shared" ca="1" si="19"/>
        <v>3245.430723174245</v>
      </c>
    </row>
    <row r="81" spans="1:12" x14ac:dyDescent="0.35">
      <c r="A81" s="6" t="s">
        <v>115</v>
      </c>
      <c r="C81" s="28">
        <f t="shared" ref="C81:I81" ca="1" si="20">MIN(MAX(-C80,0),MAX($B$49-B86,0))</f>
        <v>0</v>
      </c>
      <c r="D81" s="28">
        <f t="shared" ca="1" si="20"/>
        <v>0</v>
      </c>
      <c r="E81" s="28">
        <f t="shared" ca="1" si="20"/>
        <v>0</v>
      </c>
      <c r="F81" s="28">
        <f t="shared" ca="1" si="20"/>
        <v>0</v>
      </c>
      <c r="G81" s="28">
        <f t="shared" ca="1" si="20"/>
        <v>0</v>
      </c>
      <c r="H81" s="28">
        <f t="shared" ca="1" si="20"/>
        <v>0</v>
      </c>
      <c r="I81" s="28">
        <f t="shared" ca="1" si="20"/>
        <v>0</v>
      </c>
    </row>
    <row r="82" spans="1:12" x14ac:dyDescent="0.35">
      <c r="A82" s="6" t="s">
        <v>116</v>
      </c>
      <c r="C82" s="28">
        <f t="shared" ref="C82:I82" ca="1" si="21">MIN(B86,MAX(C80,0))</f>
        <v>0</v>
      </c>
      <c r="D82" s="28">
        <f t="shared" ca="1" si="21"/>
        <v>0</v>
      </c>
      <c r="E82" s="28">
        <f t="shared" ca="1" si="21"/>
        <v>0</v>
      </c>
      <c r="F82" s="28">
        <f t="shared" ca="1" si="21"/>
        <v>0</v>
      </c>
      <c r="G82" s="28">
        <f t="shared" ca="1" si="21"/>
        <v>0</v>
      </c>
      <c r="H82" s="28">
        <f t="shared" ca="1" si="21"/>
        <v>0</v>
      </c>
      <c r="I82" s="28">
        <f t="shared" ca="1" si="21"/>
        <v>0</v>
      </c>
    </row>
    <row r="83" spans="1:12" x14ac:dyDescent="0.35">
      <c r="A83" s="6" t="s">
        <v>255</v>
      </c>
      <c r="C83" s="28">
        <f t="shared" ref="C83:I83" ca="1" si="22">$B$36*MIN(B87-C68,MAX(C80-C82,0))</f>
        <v>1828.1723896391386</v>
      </c>
      <c r="D83" s="28">
        <f t="shared" ca="1" si="22"/>
        <v>1975.2025798563261</v>
      </c>
      <c r="E83" s="28">
        <f t="shared" ca="1" si="22"/>
        <v>2183.439559898522</v>
      </c>
      <c r="F83" s="28">
        <f t="shared" ca="1" si="22"/>
        <v>2463.3053401947018</v>
      </c>
      <c r="G83" s="28">
        <f t="shared" ca="1" si="22"/>
        <v>2732.6619164014974</v>
      </c>
      <c r="H83" s="28">
        <f t="shared" ca="1" si="22"/>
        <v>2981.2964125683679</v>
      </c>
      <c r="I83" s="28">
        <f t="shared" ca="1" si="22"/>
        <v>3245.430723174245</v>
      </c>
    </row>
    <row r="84" spans="1:12" x14ac:dyDescent="0.35">
      <c r="A84" s="6" t="s">
        <v>256</v>
      </c>
      <c r="C84" s="28">
        <f t="shared" ref="C84:I84" ca="1" si="23">C79-C75</f>
        <v>2050.9051096391381</v>
      </c>
      <c r="D84" s="28">
        <f t="shared" ca="1" si="23"/>
        <v>2209.8746998563256</v>
      </c>
      <c r="E84" s="28">
        <f t="shared" ca="1" si="23"/>
        <v>2430.2898678985221</v>
      </c>
      <c r="F84" s="28">
        <f t="shared" ca="1" si="23"/>
        <v>2710.6379999547021</v>
      </c>
      <c r="G84" s="28">
        <f t="shared" ca="1" si="23"/>
        <v>2980.486574956698</v>
      </c>
      <c r="H84" s="28">
        <f t="shared" ca="1" si="23"/>
        <v>3229.6229098946715</v>
      </c>
      <c r="I84" s="28">
        <f t="shared" ca="1" si="23"/>
        <v>3494.2690960470745</v>
      </c>
    </row>
    <row r="85" spans="1:12" x14ac:dyDescent="0.35">
      <c r="A85" s="6" t="s">
        <v>121</v>
      </c>
      <c r="B85" s="28">
        <f>B53</f>
        <v>1193.94</v>
      </c>
      <c r="C85" s="28">
        <f t="shared" ref="C85:I85" ca="1" si="24">B85+C79-C75-C68+C81-C82-C83</f>
        <v>1193.94</v>
      </c>
      <c r="D85" s="28">
        <f t="shared" ca="1" si="24"/>
        <v>1205.8794</v>
      </c>
      <c r="E85" s="28">
        <f t="shared" ca="1" si="24"/>
        <v>1229.9969879999999</v>
      </c>
      <c r="F85" s="28">
        <f t="shared" ca="1" si="24"/>
        <v>1254.5969277600002</v>
      </c>
      <c r="G85" s="28">
        <f t="shared" ca="1" si="24"/>
        <v>1279.6888663152004</v>
      </c>
      <c r="H85" s="28">
        <f t="shared" ca="1" si="24"/>
        <v>1305.2826436415039</v>
      </c>
      <c r="I85" s="28">
        <f t="shared" ca="1" si="24"/>
        <v>1331.3882965143339</v>
      </c>
    </row>
    <row r="86" spans="1:12" x14ac:dyDescent="0.35">
      <c r="A86" s="6" t="s">
        <v>127</v>
      </c>
      <c r="B86" s="16">
        <v>0</v>
      </c>
      <c r="C86" s="28">
        <f t="shared" ref="C86:I86" ca="1" si="25">B86+C81-C82</f>
        <v>0</v>
      </c>
      <c r="D86" s="28">
        <f t="shared" ca="1" si="25"/>
        <v>0</v>
      </c>
      <c r="E86" s="28">
        <f t="shared" ca="1" si="25"/>
        <v>0</v>
      </c>
      <c r="F86" s="28">
        <f t="shared" ca="1" si="25"/>
        <v>0</v>
      </c>
      <c r="G86" s="28">
        <f t="shared" ca="1" si="25"/>
        <v>0</v>
      </c>
      <c r="H86" s="28">
        <f t="shared" ca="1" si="25"/>
        <v>0</v>
      </c>
      <c r="I86" s="28">
        <f t="shared" ca="1" si="25"/>
        <v>0</v>
      </c>
    </row>
    <row r="87" spans="1:12" x14ac:dyDescent="0.35">
      <c r="A87" s="6" t="s">
        <v>218</v>
      </c>
      <c r="B87" s="28">
        <f>B45</f>
        <v>22273.272000000001</v>
      </c>
      <c r="C87" s="28">
        <f t="shared" ref="C87:I87" ca="1" si="26">B87-C68-C83</f>
        <v>20222.366890360863</v>
      </c>
      <c r="D87" s="28">
        <f t="shared" ca="1" si="26"/>
        <v>18024.431590504537</v>
      </c>
      <c r="E87" s="28">
        <f t="shared" ca="1" si="26"/>
        <v>15618.259310606016</v>
      </c>
      <c r="F87" s="28">
        <f t="shared" ca="1" si="26"/>
        <v>12932.221250411314</v>
      </c>
      <c r="G87" s="28">
        <f t="shared" ca="1" si="26"/>
        <v>9976.8266140098167</v>
      </c>
      <c r="H87" s="28">
        <f t="shared" ca="1" si="26"/>
        <v>6772.7974814414483</v>
      </c>
      <c r="I87" s="28">
        <f t="shared" ca="1" si="26"/>
        <v>3304.6340382672033</v>
      </c>
    </row>
    <row r="88" spans="1:12" x14ac:dyDescent="0.35">
      <c r="A88" s="6" t="s">
        <v>219</v>
      </c>
      <c r="B88" s="28">
        <f>B46</f>
        <v>11136.636</v>
      </c>
      <c r="C88" s="28">
        <f t="shared" ref="C88:I88" si="27">B88</f>
        <v>11136.636</v>
      </c>
      <c r="D88" s="28">
        <f t="shared" si="27"/>
        <v>11136.636</v>
      </c>
      <c r="E88" s="28">
        <f t="shared" si="27"/>
        <v>11136.636</v>
      </c>
      <c r="F88" s="28">
        <f t="shared" si="27"/>
        <v>11136.636</v>
      </c>
      <c r="G88" s="28">
        <f t="shared" si="27"/>
        <v>11136.636</v>
      </c>
      <c r="H88" s="28">
        <f t="shared" si="27"/>
        <v>11136.636</v>
      </c>
      <c r="I88" s="28">
        <f t="shared" si="27"/>
        <v>11136.636</v>
      </c>
    </row>
    <row r="89" spans="1:12" x14ac:dyDescent="0.35">
      <c r="A89" s="6" t="s">
        <v>257</v>
      </c>
      <c r="B89" s="28">
        <f>B47</f>
        <v>3712.212</v>
      </c>
      <c r="C89" s="28">
        <f t="shared" ref="C89:I89" si="28">B89+C73</f>
        <v>3823.57836</v>
      </c>
      <c r="D89" s="28">
        <f t="shared" si="28"/>
        <v>3938.2857107999998</v>
      </c>
      <c r="E89" s="28">
        <f t="shared" si="28"/>
        <v>4056.4342821239998</v>
      </c>
      <c r="F89" s="28">
        <f t="shared" si="28"/>
        <v>4178.1273105877199</v>
      </c>
      <c r="G89" s="28">
        <f t="shared" si="28"/>
        <v>4303.4711299053515</v>
      </c>
      <c r="H89" s="28">
        <f t="shared" si="28"/>
        <v>4432.5752638025124</v>
      </c>
      <c r="I89" s="28">
        <f t="shared" si="28"/>
        <v>4565.5525217165878</v>
      </c>
    </row>
    <row r="90" spans="1:12" x14ac:dyDescent="0.35">
      <c r="A90" s="26" t="s">
        <v>221</v>
      </c>
      <c r="B90" s="28">
        <f t="shared" ref="B90:I90" si="29">B86+B87+B88+B89</f>
        <v>37122.120000000003</v>
      </c>
      <c r="C90" s="28">
        <f t="shared" ca="1" si="29"/>
        <v>35182.581250360861</v>
      </c>
      <c r="D90" s="28">
        <f t="shared" ca="1" si="29"/>
        <v>33099.353301304538</v>
      </c>
      <c r="E90" s="28">
        <f t="shared" ca="1" si="29"/>
        <v>30811.329592730013</v>
      </c>
      <c r="F90" s="28">
        <f t="shared" ca="1" si="29"/>
        <v>28246.984560999033</v>
      </c>
      <c r="G90" s="28">
        <f t="shared" ca="1" si="29"/>
        <v>25416.933743915171</v>
      </c>
      <c r="H90" s="28">
        <f t="shared" ca="1" si="29"/>
        <v>22342.008745243958</v>
      </c>
      <c r="I90" s="28">
        <f t="shared" ca="1" si="29"/>
        <v>19006.822559983793</v>
      </c>
    </row>
    <row r="91" spans="1:12" x14ac:dyDescent="0.35">
      <c r="A91" s="6" t="s">
        <v>258</v>
      </c>
      <c r="B91" s="28">
        <f t="shared" ref="B91:I91" si="30">B90-B85</f>
        <v>35928.18</v>
      </c>
      <c r="C91" s="28">
        <f t="shared" ca="1" si="30"/>
        <v>33988.641250360859</v>
      </c>
      <c r="D91" s="28">
        <f t="shared" ca="1" si="30"/>
        <v>31893.473901304536</v>
      </c>
      <c r="E91" s="28">
        <f t="shared" ca="1" si="30"/>
        <v>29581.332604730014</v>
      </c>
      <c r="F91" s="28">
        <f t="shared" ca="1" si="30"/>
        <v>26992.387633239032</v>
      </c>
      <c r="G91" s="28">
        <f t="shared" ca="1" si="30"/>
        <v>24137.244877599973</v>
      </c>
      <c r="H91" s="28">
        <f t="shared" ca="1" si="30"/>
        <v>21036.726101602453</v>
      </c>
      <c r="I91" s="28">
        <f t="shared" ca="1" si="30"/>
        <v>17675.434263469459</v>
      </c>
    </row>
    <row r="92" spans="1:12" x14ac:dyDescent="0.35">
      <c r="A92" s="6" t="s">
        <v>259</v>
      </c>
      <c r="C92" s="29">
        <f t="shared" ref="C92:I92" ca="1" si="31">IF(C62&gt;0,C90/C62,0)</f>
        <v>4.7387623942760895</v>
      </c>
      <c r="D92" s="29">
        <f t="shared" ca="1" si="31"/>
        <v>4.4140308974790088</v>
      </c>
      <c r="E92" s="29">
        <f t="shared" ca="1" si="31"/>
        <v>4.0283400876560851</v>
      </c>
      <c r="F92" s="29">
        <f t="shared" ca="1" si="31"/>
        <v>3.6206588763745109</v>
      </c>
      <c r="G92" s="29">
        <f t="shared" ca="1" si="31"/>
        <v>3.194026402559409</v>
      </c>
      <c r="H92" s="29">
        <f t="shared" ca="1" si="31"/>
        <v>2.7525637789168296</v>
      </c>
      <c r="I92" s="29">
        <f t="shared" ca="1" si="31"/>
        <v>2.2957496236088502</v>
      </c>
    </row>
    <row r="93" spans="1:12" x14ac:dyDescent="0.35">
      <c r="A93" s="6" t="s">
        <v>260</v>
      </c>
      <c r="C93" s="29">
        <f t="shared" ref="C93:I93" ca="1" si="32">IF(C75&gt;0,C62/C75,0)</f>
        <v>2.7276705257729477</v>
      </c>
      <c r="D93" s="29">
        <f t="shared" ca="1" si="32"/>
        <v>2.9175478718611556</v>
      </c>
      <c r="E93" s="29">
        <f t="shared" ca="1" si="32"/>
        <v>3.1804049589231784</v>
      </c>
      <c r="F93" s="29">
        <f t="shared" ca="1" si="32"/>
        <v>3.5122106849406198</v>
      </c>
      <c r="G93" s="29">
        <f t="shared" ca="1" si="32"/>
        <v>3.9449510694699197</v>
      </c>
      <c r="H93" s="29">
        <f t="shared" ca="1" si="32"/>
        <v>4.5249642332555693</v>
      </c>
      <c r="I93" s="29">
        <f t="shared" ca="1" si="32"/>
        <v>5.3368417014317693</v>
      </c>
    </row>
    <row r="95" spans="1:12" x14ac:dyDescent="0.35">
      <c r="A95" s="17" t="s">
        <v>261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x14ac:dyDescent="0.35">
      <c r="A96" s="6" t="s">
        <v>262</v>
      </c>
      <c r="B96" s="28">
        <f>$B$15*INDEX($C$62:$I$62,$B$16)</f>
        <v>59682.350442254399</v>
      </c>
    </row>
    <row r="97" spans="1:2" x14ac:dyDescent="0.35">
      <c r="A97" s="6" t="s">
        <v>263</v>
      </c>
      <c r="B97" s="28">
        <f ca="1">INDEX($C$91:$I$91,$B$16)</f>
        <v>24137.244877599973</v>
      </c>
    </row>
    <row r="98" spans="1:2" x14ac:dyDescent="0.35">
      <c r="A98" s="6" t="s">
        <v>264</v>
      </c>
      <c r="B98" s="28">
        <f>$B$19*B96</f>
        <v>596.82350442254403</v>
      </c>
    </row>
    <row r="99" spans="1:2" x14ac:dyDescent="0.35">
      <c r="A99" s="6" t="s">
        <v>265</v>
      </c>
      <c r="B99" s="28">
        <f ca="1">B96-B97-B98</f>
        <v>34948.282060231882</v>
      </c>
    </row>
    <row r="100" spans="1:2" x14ac:dyDescent="0.35">
      <c r="A100" s="6" t="s">
        <v>266</v>
      </c>
      <c r="B100" s="28">
        <f ca="1">MAX(B99-$B$55,0)*$B$21</f>
        <v>0</v>
      </c>
    </row>
    <row r="101" spans="1:2" x14ac:dyDescent="0.35">
      <c r="A101" s="26" t="s">
        <v>267</v>
      </c>
      <c r="B101" s="34">
        <f ca="1">B99-B100</f>
        <v>34948.282060231882</v>
      </c>
    </row>
    <row r="102" spans="1:2" x14ac:dyDescent="0.35">
      <c r="A102" s="6" t="s">
        <v>268</v>
      </c>
      <c r="B102" s="29">
        <f ca="1">B101/$B$55</f>
        <v>1.3752100141481274</v>
      </c>
    </row>
    <row r="103" spans="1:2" x14ac:dyDescent="0.35">
      <c r="A103" s="26" t="s">
        <v>269</v>
      </c>
      <c r="B103" s="41">
        <f ca="1">IF(B102&gt;0,B102^(1/$B$16)-1,-1)</f>
        <v>6.5795311047704752E-2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0"/>
  <sheetViews>
    <sheetView showGridLines="0" workbookViewId="0"/>
  </sheetViews>
  <sheetFormatPr defaultRowHeight="14.5" x14ac:dyDescent="0.35"/>
  <cols>
    <col min="1" max="1" width="56" customWidth="1"/>
    <col min="2" max="7" width="13" customWidth="1"/>
  </cols>
  <sheetData>
    <row r="1" spans="1:12" ht="20" x14ac:dyDescent="0.4">
      <c r="A1" s="10" t="s">
        <v>270</v>
      </c>
    </row>
    <row r="2" spans="1:12" x14ac:dyDescent="0.35">
      <c r="A2" s="2" t="s">
        <v>271</v>
      </c>
    </row>
    <row r="4" spans="1:12" x14ac:dyDescent="0.35">
      <c r="A4" s="17" t="s">
        <v>272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x14ac:dyDescent="0.35">
      <c r="A5" s="6" t="s">
        <v>273</v>
      </c>
      <c r="B5" s="23">
        <v>3836</v>
      </c>
    </row>
    <row r="6" spans="1:12" x14ac:dyDescent="0.35">
      <c r="A6" s="6" t="s">
        <v>274</v>
      </c>
      <c r="B6" s="23">
        <v>5691.4747079999997</v>
      </c>
    </row>
    <row r="7" spans="1:12" x14ac:dyDescent="0.35">
      <c r="A7" s="6" t="s">
        <v>275</v>
      </c>
      <c r="B7" s="23">
        <v>588</v>
      </c>
    </row>
    <row r="8" spans="1:12" x14ac:dyDescent="0.35">
      <c r="A8" s="6" t="s">
        <v>276</v>
      </c>
      <c r="B8" s="23">
        <v>15453.548806999999</v>
      </c>
    </row>
    <row r="9" spans="1:12" x14ac:dyDescent="0.35">
      <c r="A9" s="6" t="s">
        <v>77</v>
      </c>
      <c r="B9" s="24">
        <v>1.3207945823669429</v>
      </c>
    </row>
    <row r="10" spans="1:12" x14ac:dyDescent="0.35">
      <c r="A10" s="17" t="s">
        <v>277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x14ac:dyDescent="0.35">
      <c r="A11" s="6" t="s">
        <v>278</v>
      </c>
      <c r="B11" s="13">
        <v>0.3</v>
      </c>
    </row>
    <row r="12" spans="1:12" x14ac:dyDescent="0.35">
      <c r="A12" s="6" t="s">
        <v>279</v>
      </c>
      <c r="B12" s="13">
        <v>0.5</v>
      </c>
    </row>
    <row r="13" spans="1:12" x14ac:dyDescent="0.35">
      <c r="A13" s="6" t="s">
        <v>280</v>
      </c>
      <c r="B13" s="14">
        <v>3.0000000000000001E-3</v>
      </c>
    </row>
    <row r="14" spans="1:12" x14ac:dyDescent="0.35">
      <c r="A14" s="6" t="s">
        <v>281</v>
      </c>
      <c r="B14" s="14">
        <v>0.01</v>
      </c>
    </row>
    <row r="15" spans="1:12" x14ac:dyDescent="0.35">
      <c r="A15" s="6" t="s">
        <v>282</v>
      </c>
      <c r="B15" s="16">
        <v>0</v>
      </c>
    </row>
    <row r="16" spans="1:12" x14ac:dyDescent="0.35">
      <c r="A16" s="6" t="s">
        <v>283</v>
      </c>
      <c r="B16" s="15">
        <v>0</v>
      </c>
    </row>
    <row r="17" spans="1:12" x14ac:dyDescent="0.35">
      <c r="A17" s="6" t="s">
        <v>284</v>
      </c>
      <c r="B17" s="22">
        <v>6</v>
      </c>
    </row>
    <row r="18" spans="1:12" x14ac:dyDescent="0.35">
      <c r="A18" s="6" t="s">
        <v>285</v>
      </c>
      <c r="B18" s="15">
        <v>0.08</v>
      </c>
    </row>
    <row r="19" spans="1:12" x14ac:dyDescent="0.35">
      <c r="A19" s="6" t="s">
        <v>286</v>
      </c>
      <c r="B19" s="15">
        <v>0.25</v>
      </c>
    </row>
    <row r="20" spans="1:12" x14ac:dyDescent="0.35">
      <c r="A20" s="6" t="s">
        <v>287</v>
      </c>
      <c r="B20" s="19">
        <v>15</v>
      </c>
    </row>
    <row r="21" spans="1:12" x14ac:dyDescent="0.35">
      <c r="A21" s="17" t="s">
        <v>288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x14ac:dyDescent="0.35">
      <c r="A22" s="6" t="s">
        <v>289</v>
      </c>
      <c r="B22" s="16">
        <v>51768.903832286051</v>
      </c>
    </row>
    <row r="23" spans="1:12" x14ac:dyDescent="0.35">
      <c r="A23" s="6" t="s">
        <v>123</v>
      </c>
      <c r="B23" s="16">
        <v>10300</v>
      </c>
    </row>
    <row r="24" spans="1:12" x14ac:dyDescent="0.35">
      <c r="A24" s="6" t="s">
        <v>290</v>
      </c>
      <c r="B24" s="16">
        <v>105335.1</v>
      </c>
    </row>
    <row r="25" spans="1:12" x14ac:dyDescent="0.35">
      <c r="A25" s="6" t="s">
        <v>291</v>
      </c>
      <c r="B25" s="16">
        <v>57958</v>
      </c>
    </row>
    <row r="26" spans="1:12" x14ac:dyDescent="0.35">
      <c r="A26" s="6" t="s">
        <v>128</v>
      </c>
      <c r="B26" s="16">
        <v>14571</v>
      </c>
    </row>
    <row r="27" spans="1:12" x14ac:dyDescent="0.35">
      <c r="A27" s="6" t="s">
        <v>121</v>
      </c>
      <c r="B27" s="16">
        <v>36684.503832286049</v>
      </c>
    </row>
    <row r="28" spans="1:12" x14ac:dyDescent="0.35">
      <c r="A28" s="6" t="s">
        <v>292</v>
      </c>
      <c r="B28" s="16">
        <v>20948</v>
      </c>
    </row>
    <row r="29" spans="1:12" x14ac:dyDescent="0.35">
      <c r="A29" s="6" t="s">
        <v>293</v>
      </c>
      <c r="B29" s="16">
        <v>36655.089441830707</v>
      </c>
    </row>
    <row r="31" spans="1:12" x14ac:dyDescent="0.35">
      <c r="A31" s="17" t="s">
        <v>294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x14ac:dyDescent="0.35">
      <c r="A32" s="6" t="s">
        <v>295</v>
      </c>
      <c r="B32" s="28">
        <f>$B$8*$B$7/100*$B$9</f>
        <v>120016.46563065695</v>
      </c>
    </row>
    <row r="33" spans="1:12" x14ac:dyDescent="0.35">
      <c r="A33" s="26" t="s">
        <v>296</v>
      </c>
      <c r="B33" s="34">
        <f>B32*(1+$B$11)</f>
        <v>156021.40531985404</v>
      </c>
    </row>
    <row r="34" spans="1:12" x14ac:dyDescent="0.35">
      <c r="A34" s="6" t="s">
        <v>297</v>
      </c>
      <c r="B34" s="32">
        <f>$B$7*(1+$B$11)</f>
        <v>764.4</v>
      </c>
    </row>
    <row r="35" spans="1:12" x14ac:dyDescent="0.35">
      <c r="A35" s="6" t="s">
        <v>298</v>
      </c>
      <c r="B35" s="28">
        <f>B33*$B$12</f>
        <v>78010.702659927018</v>
      </c>
    </row>
    <row r="36" spans="1:12" x14ac:dyDescent="0.35">
      <c r="A36" s="6" t="s">
        <v>299</v>
      </c>
      <c r="B36" s="28">
        <f>B33-B35</f>
        <v>78010.702659927018</v>
      </c>
    </row>
    <row r="37" spans="1:12" x14ac:dyDescent="0.35">
      <c r="A37" s="6" t="s">
        <v>300</v>
      </c>
      <c r="B37" s="32">
        <f>B35/($B$5/100*$B$9)</f>
        <v>1539.7148993835765</v>
      </c>
    </row>
    <row r="38" spans="1:12" x14ac:dyDescent="0.35">
      <c r="A38" s="6" t="s">
        <v>301</v>
      </c>
      <c r="B38" s="32">
        <f>$B$6+B37</f>
        <v>7231.189607383576</v>
      </c>
    </row>
    <row r="39" spans="1:12" x14ac:dyDescent="0.35">
      <c r="A39" s="26" t="s">
        <v>302</v>
      </c>
      <c r="B39" s="39">
        <f>B37/B38</f>
        <v>0.21292691562276481</v>
      </c>
    </row>
    <row r="40" spans="1:12" x14ac:dyDescent="0.35">
      <c r="A40" s="6" t="s">
        <v>303</v>
      </c>
      <c r="B40" s="28">
        <f>$B$25+$B$26-$B$27</f>
        <v>35844.496167713951</v>
      </c>
    </row>
    <row r="41" spans="1:12" x14ac:dyDescent="0.35">
      <c r="A41" s="6" t="s">
        <v>304</v>
      </c>
      <c r="B41" s="28">
        <f>B33+B40+$B$28</f>
        <v>212813.90148756799</v>
      </c>
    </row>
    <row r="42" spans="1:12" x14ac:dyDescent="0.35">
      <c r="A42" s="6" t="s">
        <v>224</v>
      </c>
      <c r="B42" s="28">
        <f>$B$13*B41</f>
        <v>638.44170446270402</v>
      </c>
    </row>
    <row r="43" spans="1:12" x14ac:dyDescent="0.35">
      <c r="A43" s="6" t="s">
        <v>305</v>
      </c>
      <c r="B43" s="28">
        <f>$B$17*$B$16*$B$29</f>
        <v>0</v>
      </c>
    </row>
    <row r="44" spans="1:12" x14ac:dyDescent="0.35">
      <c r="A44" s="26" t="s">
        <v>306</v>
      </c>
      <c r="B44" s="34">
        <f>MAX((B36+B42-$B$15-B43)/(1-$B$14),0)</f>
        <v>79443.580166050218</v>
      </c>
    </row>
    <row r="45" spans="1:12" x14ac:dyDescent="0.35">
      <c r="A45" s="6" t="s">
        <v>223</v>
      </c>
      <c r="B45" s="28">
        <f>$B$14*B44</f>
        <v>794.43580166050219</v>
      </c>
    </row>
    <row r="47" spans="1:12" x14ac:dyDescent="0.35">
      <c r="A47" s="17" t="s">
        <v>307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x14ac:dyDescent="0.35">
      <c r="A48" s="6" t="s">
        <v>308</v>
      </c>
      <c r="B48" s="28">
        <f>$B$18*$B$24*(1-$B$16)</f>
        <v>8426.8080000000009</v>
      </c>
    </row>
    <row r="49" spans="1:12" x14ac:dyDescent="0.35">
      <c r="A49" s="6" t="s">
        <v>309</v>
      </c>
      <c r="B49" s="28">
        <f>B48*$B$19</f>
        <v>2106.7020000000002</v>
      </c>
    </row>
    <row r="50" spans="1:12" x14ac:dyDescent="0.35">
      <c r="A50" s="6" t="s">
        <v>310</v>
      </c>
      <c r="B50" s="28">
        <f>$B$22-$B$23+B48-B49</f>
        <v>47789.00983228605</v>
      </c>
    </row>
    <row r="51" spans="1:12" x14ac:dyDescent="0.35">
      <c r="A51" s="26" t="s">
        <v>311</v>
      </c>
      <c r="B51" s="34">
        <f>B33-B50</f>
        <v>108232.39548756799</v>
      </c>
    </row>
    <row r="52" spans="1:12" x14ac:dyDescent="0.35">
      <c r="A52" s="6" t="s">
        <v>312</v>
      </c>
      <c r="B52" s="28">
        <f>B48/$B$20</f>
        <v>561.7872000000001</v>
      </c>
    </row>
    <row r="54" spans="1:12" x14ac:dyDescent="0.35">
      <c r="A54" s="17" t="s">
        <v>313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x14ac:dyDescent="0.35">
      <c r="A55" s="11"/>
      <c r="B55" s="12" t="s">
        <v>85</v>
      </c>
      <c r="C55" s="12" t="s">
        <v>86</v>
      </c>
      <c r="D55" s="12" t="s">
        <v>87</v>
      </c>
      <c r="E55" s="12" t="s">
        <v>88</v>
      </c>
      <c r="F55" s="12" t="s">
        <v>89</v>
      </c>
    </row>
    <row r="56" spans="1:12" x14ac:dyDescent="0.35">
      <c r="A56" s="6" t="s">
        <v>314</v>
      </c>
      <c r="B56" s="16">
        <v>18103.932455454418</v>
      </c>
      <c r="C56" s="16">
        <v>18713.36478574865</v>
      </c>
      <c r="D56" s="16">
        <v>19338.22313447632</v>
      </c>
      <c r="E56" s="16">
        <v>19979.631080837</v>
      </c>
      <c r="F56" s="16">
        <v>20617.130133935931</v>
      </c>
    </row>
    <row r="57" spans="1:12" x14ac:dyDescent="0.35">
      <c r="A57" s="6" t="s">
        <v>315</v>
      </c>
      <c r="B57" s="16">
        <v>23709.688875954838</v>
      </c>
      <c r="C57" s="16">
        <v>25699.615619701959</v>
      </c>
      <c r="D57" s="16">
        <v>28703.251244319508</v>
      </c>
      <c r="E57" s="16">
        <v>30087.936549868671</v>
      </c>
      <c r="F57" s="16">
        <v>31390.50015958014</v>
      </c>
    </row>
    <row r="58" spans="1:12" x14ac:dyDescent="0.35">
      <c r="A58" s="6" t="s">
        <v>316</v>
      </c>
      <c r="B58" s="35">
        <f>B56/$B$6</f>
        <v>3.1808860417155733</v>
      </c>
      <c r="C58" s="35">
        <f>C56/$B$6</f>
        <v>3.2879641474018917</v>
      </c>
      <c r="D58" s="35">
        <f>D56/$B$6</f>
        <v>3.3977526259221182</v>
      </c>
      <c r="E58" s="35">
        <f>E56/$B$6</f>
        <v>3.5104488916999683</v>
      </c>
      <c r="F58" s="35">
        <f>F56/$B$6</f>
        <v>3.6224583595102802</v>
      </c>
    </row>
    <row r="59" spans="1:12" x14ac:dyDescent="0.35">
      <c r="A59" s="6" t="s">
        <v>317</v>
      </c>
      <c r="B59" s="35">
        <f>B57/$B$38</f>
        <v>3.2788089046573337</v>
      </c>
      <c r="C59" s="35">
        <f>C57/$B$38</f>
        <v>3.5539955408527475</v>
      </c>
      <c r="D59" s="35">
        <f>D57/$B$38</f>
        <v>3.9693678084462589</v>
      </c>
      <c r="E59" s="35">
        <f>E57/$B$38</f>
        <v>4.1608557074961325</v>
      </c>
      <c r="F59" s="35">
        <f>F57/$B$38</f>
        <v>4.3409870109792354</v>
      </c>
    </row>
    <row r="60" spans="1:12" x14ac:dyDescent="0.35">
      <c r="A60" s="26" t="s">
        <v>318</v>
      </c>
      <c r="B60" s="39">
        <f>B59/B58-1</f>
        <v>3.0784775580626311E-2</v>
      </c>
      <c r="C60" s="39">
        <f>C59/C58-1</f>
        <v>8.0910673451555226E-2</v>
      </c>
      <c r="D60" s="39">
        <f>D59/D58-1</f>
        <v>0.16823331344465076</v>
      </c>
      <c r="E60" s="39">
        <f>E59/E58-1</f>
        <v>0.18527739211186711</v>
      </c>
      <c r="F60" s="39">
        <f>F59/F58-1</f>
        <v>0.19835387467810484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4"/>
  <sheetViews>
    <sheetView showGridLines="0" workbookViewId="0"/>
  </sheetViews>
  <sheetFormatPr defaultRowHeight="14.5" x14ac:dyDescent="0.35"/>
  <cols>
    <col min="1" max="1" width="26" customWidth="1"/>
    <col min="2" max="16" width="12" customWidth="1"/>
  </cols>
  <sheetData>
    <row r="1" spans="1:12" ht="20" x14ac:dyDescent="0.4">
      <c r="A1" s="10" t="s">
        <v>319</v>
      </c>
    </row>
    <row r="2" spans="1:12" x14ac:dyDescent="0.35">
      <c r="A2" s="2" t="s">
        <v>320</v>
      </c>
    </row>
    <row r="4" spans="1:12" x14ac:dyDescent="0.35">
      <c r="A4" s="17" t="s">
        <v>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x14ac:dyDescent="0.35">
      <c r="A5" s="6" t="s">
        <v>321</v>
      </c>
      <c r="B5" s="20">
        <v>4.0500001907348628E-2</v>
      </c>
    </row>
    <row r="6" spans="1:12" x14ac:dyDescent="0.35">
      <c r="A6" s="6" t="s">
        <v>322</v>
      </c>
      <c r="B6" s="20">
        <v>0.05</v>
      </c>
    </row>
    <row r="7" spans="1:12" x14ac:dyDescent="0.35">
      <c r="A7" s="6" t="s">
        <v>323</v>
      </c>
      <c r="B7" s="13">
        <v>0.25</v>
      </c>
    </row>
    <row r="9" spans="1:12" x14ac:dyDescent="0.35">
      <c r="A9" s="11" t="s">
        <v>324</v>
      </c>
      <c r="B9" s="12" t="s">
        <v>325</v>
      </c>
      <c r="C9" s="12" t="s">
        <v>326</v>
      </c>
      <c r="D9" s="12" t="s">
        <v>327</v>
      </c>
      <c r="E9" s="12" t="s">
        <v>328</v>
      </c>
      <c r="F9" s="12" t="s">
        <v>329</v>
      </c>
      <c r="G9" s="12" t="s">
        <v>330</v>
      </c>
      <c r="H9" s="12" t="s">
        <v>331</v>
      </c>
      <c r="I9" s="12" t="s">
        <v>332</v>
      </c>
    </row>
    <row r="10" spans="1:12" x14ac:dyDescent="0.35">
      <c r="A10" s="6" t="s">
        <v>333</v>
      </c>
      <c r="B10" s="15">
        <v>0.2278847483612757</v>
      </c>
      <c r="C10" s="21">
        <v>1.573360980193041</v>
      </c>
      <c r="D10" s="37">
        <f t="shared" ref="D10:D22" si="0">$B$7*B10+(1-$B$7)*($B$5+C10*$B$6)</f>
        <v>0.14634722527806945</v>
      </c>
      <c r="E10" s="15">
        <v>8.2172572410248945E-2</v>
      </c>
      <c r="F10" s="15">
        <v>6.240781208066465E-3</v>
      </c>
      <c r="G10" s="15">
        <v>5.6399563717540332E-2</v>
      </c>
      <c r="H10" s="15">
        <v>1.5734504668015639E-2</v>
      </c>
      <c r="I10" s="15">
        <v>7.6923076923076927E-2</v>
      </c>
    </row>
    <row r="11" spans="1:12" x14ac:dyDescent="0.35">
      <c r="A11" s="6" t="s">
        <v>334</v>
      </c>
      <c r="B11" s="15">
        <v>-2.8946613366149249E-2</v>
      </c>
      <c r="C11" s="21">
        <v>1.435878612582147</v>
      </c>
      <c r="D11" s="37">
        <f t="shared" si="0"/>
        <v>7.6983796060804674E-2</v>
      </c>
      <c r="E11" s="15">
        <v>0</v>
      </c>
      <c r="F11" s="15">
        <v>0</v>
      </c>
      <c r="G11" s="15">
        <v>5.4341879762631697E-2</v>
      </c>
      <c r="H11" s="15">
        <v>1.992388756886131E-2</v>
      </c>
      <c r="I11" s="15">
        <v>7.6923076923076927E-2</v>
      </c>
    </row>
    <row r="12" spans="1:12" x14ac:dyDescent="0.35">
      <c r="A12" s="6" t="s">
        <v>335</v>
      </c>
      <c r="B12" s="15">
        <v>0.51335461714169039</v>
      </c>
      <c r="C12" s="21">
        <v>1.261792272936807</v>
      </c>
      <c r="D12" s="37">
        <f t="shared" si="0"/>
        <v>0.20603086595106432</v>
      </c>
      <c r="E12" s="15">
        <v>0.21010406016555511</v>
      </c>
      <c r="F12" s="15">
        <v>4.5896111758321513E-2</v>
      </c>
      <c r="G12" s="15">
        <v>5.9600767852046738E-2</v>
      </c>
      <c r="H12" s="15">
        <v>8.890806172761398E-2</v>
      </c>
      <c r="I12" s="15">
        <v>7.6923076923076927E-2</v>
      </c>
    </row>
    <row r="13" spans="1:12" x14ac:dyDescent="0.35">
      <c r="A13" s="6" t="s">
        <v>336</v>
      </c>
      <c r="B13" s="15">
        <v>0.1826940563940051</v>
      </c>
      <c r="C13" s="21">
        <v>1.3318469849655421</v>
      </c>
      <c r="D13" s="37">
        <f t="shared" si="0"/>
        <v>0.12599277746522058</v>
      </c>
      <c r="E13" s="15">
        <v>0.1069519276848845</v>
      </c>
      <c r="F13" s="15">
        <v>6.2253066050606223E-2</v>
      </c>
      <c r="G13" s="15">
        <v>6.6878033971455531E-2</v>
      </c>
      <c r="H13" s="15">
        <v>0.1017168481205977</v>
      </c>
      <c r="I13" s="15">
        <v>7.6923076923076927E-2</v>
      </c>
    </row>
    <row r="14" spans="1:12" x14ac:dyDescent="0.35">
      <c r="A14" s="6" t="s">
        <v>337</v>
      </c>
      <c r="B14" s="15">
        <v>0.1029810579992054</v>
      </c>
      <c r="C14" s="21">
        <v>0.77479946756225682</v>
      </c>
      <c r="D14" s="37">
        <f t="shared" si="0"/>
        <v>8.5175245963897459E-2</v>
      </c>
      <c r="E14" s="15">
        <v>3.5828814942897823E-2</v>
      </c>
      <c r="F14" s="15">
        <v>3.1144736549038071E-2</v>
      </c>
      <c r="G14" s="15">
        <v>7.6402270332588409E-2</v>
      </c>
      <c r="H14" s="15">
        <v>4.592786298106824E-2</v>
      </c>
      <c r="I14" s="15">
        <v>7.6923076923076927E-2</v>
      </c>
    </row>
    <row r="15" spans="1:12" x14ac:dyDescent="0.35">
      <c r="A15" s="6" t="s">
        <v>338</v>
      </c>
      <c r="B15" s="15">
        <v>9.4879509703950329E-2</v>
      </c>
      <c r="C15" s="21">
        <v>0.52892052869302775</v>
      </c>
      <c r="D15" s="37">
        <f t="shared" si="0"/>
        <v>7.3929398682487588E-2</v>
      </c>
      <c r="E15" s="15">
        <v>7.779811133345399E-2</v>
      </c>
      <c r="F15" s="15">
        <v>0.14458940735205969</v>
      </c>
      <c r="G15" s="15">
        <v>9.5826395803287598E-2</v>
      </c>
      <c r="H15" s="15">
        <v>0.1121520561592317</v>
      </c>
      <c r="I15" s="15">
        <v>7.6923076923076927E-2</v>
      </c>
    </row>
    <row r="16" spans="1:12" x14ac:dyDescent="0.35">
      <c r="A16" s="6" t="s">
        <v>339</v>
      </c>
      <c r="B16" s="15">
        <v>0.10072851296808789</v>
      </c>
      <c r="C16" s="21">
        <v>0.87416856531142084</v>
      </c>
      <c r="D16" s="37">
        <f t="shared" si="0"/>
        <v>8.8338450871711729E-2</v>
      </c>
      <c r="E16" s="15">
        <v>1.8566108816017501E-17</v>
      </c>
      <c r="F16" s="15">
        <v>1.4405352463273839E-2</v>
      </c>
      <c r="G16" s="15">
        <v>6.2614729712471576E-2</v>
      </c>
      <c r="H16" s="15">
        <v>5.9129019103479813E-2</v>
      </c>
      <c r="I16" s="15">
        <v>7.6923076923076927E-2</v>
      </c>
    </row>
    <row r="17" spans="1:15" x14ac:dyDescent="0.35">
      <c r="A17" s="6" t="s">
        <v>340</v>
      </c>
      <c r="B17" s="15">
        <v>9.515460660232658E-2</v>
      </c>
      <c r="C17" s="21">
        <v>0.63700813679704127</v>
      </c>
      <c r="D17" s="37">
        <f t="shared" si="0"/>
        <v>7.8051458210982166E-2</v>
      </c>
      <c r="E17" s="15">
        <v>6.9676986962110929E-2</v>
      </c>
      <c r="F17" s="15">
        <v>0.12277187962904609</v>
      </c>
      <c r="G17" s="15">
        <v>0.1001853520278282</v>
      </c>
      <c r="H17" s="15">
        <v>0.13259578465268229</v>
      </c>
      <c r="I17" s="15">
        <v>7.6923076923076927E-2</v>
      </c>
    </row>
    <row r="18" spans="1:15" x14ac:dyDescent="0.35">
      <c r="A18" s="6" t="s">
        <v>341</v>
      </c>
      <c r="B18" s="15">
        <v>0.1098183987366039</v>
      </c>
      <c r="C18" s="21">
        <v>0.94103546792087533</v>
      </c>
      <c r="D18" s="37">
        <f t="shared" si="0"/>
        <v>9.311843116169527E-2</v>
      </c>
      <c r="E18" s="15">
        <v>7.8390933028173973E-2</v>
      </c>
      <c r="F18" s="15">
        <v>7.0065983824923198E-2</v>
      </c>
      <c r="G18" s="15">
        <v>8.7346326829056534E-2</v>
      </c>
      <c r="H18" s="15">
        <v>9.0023417055103763E-2</v>
      </c>
      <c r="I18" s="15">
        <v>7.6923076923076927E-2</v>
      </c>
    </row>
    <row r="19" spans="1:15" x14ac:dyDescent="0.35">
      <c r="A19" s="6" t="s">
        <v>342</v>
      </c>
      <c r="B19" s="15">
        <v>0.58290942767029763</v>
      </c>
      <c r="C19" s="21">
        <v>0.63472303118697482</v>
      </c>
      <c r="D19" s="37">
        <f t="shared" si="0"/>
        <v>0.19990447201759742</v>
      </c>
      <c r="E19" s="15">
        <v>7.2580529095126481E-2</v>
      </c>
      <c r="F19" s="15">
        <v>1.688775094647476E-2</v>
      </c>
      <c r="G19" s="15">
        <v>4.3187957552966297E-2</v>
      </c>
      <c r="H19" s="15">
        <v>7.2163415416813037E-2</v>
      </c>
      <c r="I19" s="15">
        <v>7.6923076923076927E-2</v>
      </c>
    </row>
    <row r="20" spans="1:15" x14ac:dyDescent="0.35">
      <c r="A20" s="6" t="s">
        <v>343</v>
      </c>
      <c r="B20" s="15">
        <v>0.1435882517867797</v>
      </c>
      <c r="C20" s="21">
        <v>0.42019088271653038</v>
      </c>
      <c r="D20" s="37">
        <f t="shared" si="0"/>
        <v>8.2029222479076291E-2</v>
      </c>
      <c r="E20" s="15">
        <v>0.25</v>
      </c>
      <c r="F20" s="15">
        <v>0.24871096746006841</v>
      </c>
      <c r="G20" s="15">
        <v>0.12998784380827191</v>
      </c>
      <c r="H20" s="15">
        <v>0.174818097831068</v>
      </c>
      <c r="I20" s="15">
        <v>7.6923076923076927E-2</v>
      </c>
    </row>
    <row r="21" spans="1:15" x14ac:dyDescent="0.35">
      <c r="A21" s="6" t="s">
        <v>344</v>
      </c>
      <c r="B21" s="15">
        <v>0.1245644283809445</v>
      </c>
      <c r="C21" s="21">
        <v>0.47375468397806958</v>
      </c>
      <c r="D21" s="37">
        <f t="shared" si="0"/>
        <v>7.9281909174925211E-2</v>
      </c>
      <c r="E21" s="15">
        <v>1.6496064377548341E-2</v>
      </c>
      <c r="F21" s="15">
        <v>5.9598054431188437E-2</v>
      </c>
      <c r="G21" s="15">
        <v>7.9990739273384279E-2</v>
      </c>
      <c r="H21" s="15">
        <v>7.773627398151145E-2</v>
      </c>
      <c r="I21" s="15">
        <v>7.6923076923076927E-2</v>
      </c>
    </row>
    <row r="22" spans="1:15" x14ac:dyDescent="0.35">
      <c r="A22" s="6" t="s">
        <v>345</v>
      </c>
      <c r="B22" s="15">
        <v>7.3548998115145967E-2</v>
      </c>
      <c r="C22" s="21">
        <v>0.6893649071384228</v>
      </c>
      <c r="D22" s="37">
        <f t="shared" si="0"/>
        <v>7.4613434976988816E-2</v>
      </c>
      <c r="E22" s="15">
        <v>2.5033862015302281E-17</v>
      </c>
      <c r="F22" s="15">
        <v>0.17743590832693329</v>
      </c>
      <c r="G22" s="15">
        <v>8.7238139356470831E-2</v>
      </c>
      <c r="H22" s="15">
        <v>9.1707707339529869E-3</v>
      </c>
      <c r="I22" s="15">
        <v>7.6923076923076927E-2</v>
      </c>
    </row>
    <row r="23" spans="1:15" x14ac:dyDescent="0.35">
      <c r="A23" s="3" t="s">
        <v>346</v>
      </c>
      <c r="E23" s="39">
        <f>SUM(E10:E22)</f>
        <v>1</v>
      </c>
      <c r="F23" s="39">
        <f>SUM(F10:F22)</f>
        <v>1</v>
      </c>
      <c r="G23" s="39">
        <f>SUM(G10:G22)</f>
        <v>1</v>
      </c>
      <c r="H23" s="39">
        <f>SUM(H10:H22)</f>
        <v>1</v>
      </c>
      <c r="I23" s="39">
        <f>SUM(I10:I22)</f>
        <v>0.99999999999999978</v>
      </c>
    </row>
    <row r="25" spans="1:15" x14ac:dyDescent="0.35">
      <c r="A25" s="17" t="s">
        <v>347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x14ac:dyDescent="0.35">
      <c r="A26" s="11"/>
      <c r="B26" s="12" t="s">
        <v>333</v>
      </c>
      <c r="C26" s="12" t="s">
        <v>334</v>
      </c>
      <c r="D26" s="12" t="s">
        <v>335</v>
      </c>
      <c r="E26" s="12" t="s">
        <v>336</v>
      </c>
      <c r="F26" s="12" t="s">
        <v>337</v>
      </c>
      <c r="G26" s="12" t="s">
        <v>338</v>
      </c>
      <c r="H26" s="12" t="s">
        <v>339</v>
      </c>
      <c r="I26" s="12" t="s">
        <v>340</v>
      </c>
      <c r="J26" s="12" t="s">
        <v>341</v>
      </c>
      <c r="K26" s="12" t="s">
        <v>342</v>
      </c>
      <c r="L26" s="12" t="s">
        <v>343</v>
      </c>
      <c r="M26" s="12" t="s">
        <v>344</v>
      </c>
      <c r="N26" s="12" t="s">
        <v>345</v>
      </c>
    </row>
    <row r="27" spans="1:15" x14ac:dyDescent="0.35">
      <c r="A27" s="6" t="s">
        <v>333</v>
      </c>
      <c r="B27" s="24">
        <v>9.0884375225981709E-2</v>
      </c>
      <c r="C27" s="24">
        <v>4.1341856962689202E-2</v>
      </c>
      <c r="D27" s="24">
        <v>4.2273440509978437E-2</v>
      </c>
      <c r="E27" s="24">
        <v>2.8933813392838691E-2</v>
      </c>
      <c r="F27" s="24">
        <v>8.6916696855989899E-3</v>
      </c>
      <c r="G27" s="24">
        <v>3.9176440453884366E-3</v>
      </c>
      <c r="H27" s="24">
        <v>1.69429141016691E-2</v>
      </c>
      <c r="I27" s="24">
        <v>1.04029697707324E-2</v>
      </c>
      <c r="J27" s="24">
        <v>5.4881265310704579E-3</v>
      </c>
      <c r="K27" s="24">
        <v>2.3749145216293101E-2</v>
      </c>
      <c r="L27" s="24">
        <v>2.0746216167026451E-3</v>
      </c>
      <c r="M27" s="24">
        <v>6.4490698562729284E-3</v>
      </c>
      <c r="N27" s="24">
        <v>1.900277076565644E-2</v>
      </c>
    </row>
    <row r="28" spans="1:15" x14ac:dyDescent="0.35">
      <c r="A28" s="6" t="s">
        <v>334</v>
      </c>
      <c r="B28" s="24">
        <v>4.1341856962689202E-2</v>
      </c>
      <c r="C28" s="24">
        <v>9.0557435103794409E-2</v>
      </c>
      <c r="D28" s="24">
        <v>3.1934092540450362E-2</v>
      </c>
      <c r="E28" s="24">
        <v>3.3199626818997047E-2</v>
      </c>
      <c r="F28" s="24">
        <v>1.0369645307824559E-2</v>
      </c>
      <c r="G28" s="24">
        <v>9.3611826858900002E-3</v>
      </c>
      <c r="H28" s="24">
        <v>2.3441673412888799E-2</v>
      </c>
      <c r="I28" s="24">
        <v>6.7482221440834413E-3</v>
      </c>
      <c r="J28" s="24">
        <v>6.8170346347813668E-3</v>
      </c>
      <c r="K28" s="24">
        <v>1.1307217250924619E-2</v>
      </c>
      <c r="L28" s="24">
        <v>3.9761020403289932E-3</v>
      </c>
      <c r="M28" s="24">
        <v>7.1232467896440704E-3</v>
      </c>
      <c r="N28" s="24">
        <v>2.5841036644849599E-2</v>
      </c>
    </row>
    <row r="29" spans="1:15" x14ac:dyDescent="0.35">
      <c r="A29" s="6" t="s">
        <v>335</v>
      </c>
      <c r="B29" s="24">
        <v>4.2273440509978437E-2</v>
      </c>
      <c r="C29" s="24">
        <v>3.1934092540450362E-2</v>
      </c>
      <c r="D29" s="24">
        <v>0.13823807995935611</v>
      </c>
      <c r="E29" s="24">
        <v>1.852704187974483E-2</v>
      </c>
      <c r="F29" s="24">
        <v>2.759167045910981E-3</v>
      </c>
      <c r="G29" s="24">
        <v>7.5906317253172212E-4</v>
      </c>
      <c r="H29" s="24">
        <v>1.699457919362999E-2</v>
      </c>
      <c r="I29" s="24">
        <v>-4.480844430001406E-4</v>
      </c>
      <c r="J29" s="24">
        <v>1.020191287603486E-2</v>
      </c>
      <c r="K29" s="24">
        <v>2.392859806038786E-2</v>
      </c>
      <c r="L29" s="24">
        <v>-1.279307489787449E-3</v>
      </c>
      <c r="M29" s="24">
        <v>-2.4089226952455881E-3</v>
      </c>
      <c r="N29" s="24">
        <v>1.6458597002007091E-2</v>
      </c>
    </row>
    <row r="30" spans="1:15" x14ac:dyDescent="0.35">
      <c r="A30" s="6" t="s">
        <v>336</v>
      </c>
      <c r="B30" s="24">
        <v>2.8933813392838691E-2</v>
      </c>
      <c r="C30" s="24">
        <v>3.3199626818997047E-2</v>
      </c>
      <c r="D30" s="24">
        <v>1.852704187974483E-2</v>
      </c>
      <c r="E30" s="24">
        <v>0.1036251133443747</v>
      </c>
      <c r="F30" s="24">
        <v>1.096569958500869E-2</v>
      </c>
      <c r="G30" s="24">
        <v>6.1274348941325397E-4</v>
      </c>
      <c r="H30" s="24">
        <v>7.0008773213896874E-3</v>
      </c>
      <c r="I30" s="24">
        <v>2.6681620603828882E-4</v>
      </c>
      <c r="J30" s="24">
        <v>8.7171512440161678E-3</v>
      </c>
      <c r="K30" s="24">
        <v>1.302300544194685E-2</v>
      </c>
      <c r="L30" s="24">
        <v>-2.103059378619388E-3</v>
      </c>
      <c r="M30" s="24">
        <v>8.1636368177045865E-3</v>
      </c>
      <c r="N30" s="24">
        <v>1.6257879695729571E-2</v>
      </c>
    </row>
    <row r="31" spans="1:15" x14ac:dyDescent="0.35">
      <c r="A31" s="6" t="s">
        <v>337</v>
      </c>
      <c r="B31" s="24">
        <v>8.6916696855989899E-3</v>
      </c>
      <c r="C31" s="24">
        <v>1.0369645307824559E-2</v>
      </c>
      <c r="D31" s="24">
        <v>2.759167045910981E-3</v>
      </c>
      <c r="E31" s="24">
        <v>1.096569958500869E-2</v>
      </c>
      <c r="F31" s="24">
        <v>5.9398243157046532E-2</v>
      </c>
      <c r="G31" s="24">
        <v>2.3266328389224971E-2</v>
      </c>
      <c r="H31" s="24">
        <v>1.5667270985957091E-2</v>
      </c>
      <c r="I31" s="24">
        <v>8.4047919425435675E-3</v>
      </c>
      <c r="J31" s="24">
        <v>1.521671226878752E-2</v>
      </c>
      <c r="K31" s="24">
        <v>-8.8823823111167325E-3</v>
      </c>
      <c r="L31" s="24">
        <v>8.9159524850448771E-3</v>
      </c>
      <c r="M31" s="24">
        <v>1.382527230321148E-2</v>
      </c>
      <c r="N31" s="24">
        <v>2.435235312144385E-3</v>
      </c>
    </row>
    <row r="32" spans="1:15" x14ac:dyDescent="0.35">
      <c r="A32" s="6" t="s">
        <v>338</v>
      </c>
      <c r="B32" s="24">
        <v>3.9176440453884366E-3</v>
      </c>
      <c r="C32" s="24">
        <v>9.3611826858900002E-3</v>
      </c>
      <c r="D32" s="24">
        <v>7.5906317253172212E-4</v>
      </c>
      <c r="E32" s="24">
        <v>6.1274348941325397E-4</v>
      </c>
      <c r="F32" s="24">
        <v>2.3266328389224971E-2</v>
      </c>
      <c r="G32" s="24">
        <v>4.4159698370271533E-2</v>
      </c>
      <c r="H32" s="24">
        <v>1.8005553066134401E-2</v>
      </c>
      <c r="I32" s="24">
        <v>6.2652580761695144E-3</v>
      </c>
      <c r="J32" s="24">
        <v>9.3654865213707895E-3</v>
      </c>
      <c r="K32" s="24">
        <v>-6.1143064616182878E-3</v>
      </c>
      <c r="L32" s="24">
        <v>7.1807883862078266E-3</v>
      </c>
      <c r="M32" s="24">
        <v>9.8883276838368211E-3</v>
      </c>
      <c r="N32" s="24">
        <v>3.1606046985807662E-3</v>
      </c>
    </row>
    <row r="33" spans="1:15" x14ac:dyDescent="0.35">
      <c r="A33" s="6" t="s">
        <v>339</v>
      </c>
      <c r="B33" s="24">
        <v>1.69429141016691E-2</v>
      </c>
      <c r="C33" s="24">
        <v>2.3441673412888799E-2</v>
      </c>
      <c r="D33" s="24">
        <v>1.699457919362999E-2</v>
      </c>
      <c r="E33" s="24">
        <v>7.0008773213896874E-3</v>
      </c>
      <c r="F33" s="24">
        <v>1.5667270985957091E-2</v>
      </c>
      <c r="G33" s="24">
        <v>1.8005553066134401E-2</v>
      </c>
      <c r="H33" s="24">
        <v>9.7051292267500977E-2</v>
      </c>
      <c r="I33" s="24">
        <v>1.6576418259768289E-2</v>
      </c>
      <c r="J33" s="24">
        <v>8.0292608602538455E-3</v>
      </c>
      <c r="K33" s="24">
        <v>1.867783374065366E-3</v>
      </c>
      <c r="L33" s="24">
        <v>5.8064759947777794E-3</v>
      </c>
      <c r="M33" s="24">
        <v>4.4981637246154921E-3</v>
      </c>
      <c r="N33" s="24">
        <v>8.8613000583525597E-3</v>
      </c>
    </row>
    <row r="34" spans="1:15" x14ac:dyDescent="0.35">
      <c r="A34" s="6" t="s">
        <v>340</v>
      </c>
      <c r="B34" s="24">
        <v>1.04029697707324E-2</v>
      </c>
      <c r="C34" s="24">
        <v>6.7482221440834413E-3</v>
      </c>
      <c r="D34" s="24">
        <v>-4.480844430001406E-4</v>
      </c>
      <c r="E34" s="24">
        <v>2.6681620603828882E-4</v>
      </c>
      <c r="F34" s="24">
        <v>8.4047919425435675E-3</v>
      </c>
      <c r="G34" s="24">
        <v>6.2652580761695144E-3</v>
      </c>
      <c r="H34" s="24">
        <v>1.6576418259768289E-2</v>
      </c>
      <c r="I34" s="24">
        <v>5.2292317148481003E-2</v>
      </c>
      <c r="J34" s="24">
        <v>9.8647503842919475E-3</v>
      </c>
      <c r="K34" s="24">
        <v>-9.7500064969722813E-3</v>
      </c>
      <c r="L34" s="24">
        <v>1.248686912777686E-2</v>
      </c>
      <c r="M34" s="24">
        <v>4.2112319004004118E-4</v>
      </c>
      <c r="N34" s="24">
        <v>1.015044828731199E-3</v>
      </c>
    </row>
    <row r="35" spans="1:15" x14ac:dyDescent="0.35">
      <c r="A35" s="6" t="s">
        <v>341</v>
      </c>
      <c r="B35" s="24">
        <v>5.4881265310704579E-3</v>
      </c>
      <c r="C35" s="24">
        <v>6.8170346347813668E-3</v>
      </c>
      <c r="D35" s="24">
        <v>1.020191287603486E-2</v>
      </c>
      <c r="E35" s="24">
        <v>8.7171512440161678E-3</v>
      </c>
      <c r="F35" s="24">
        <v>1.521671226878752E-2</v>
      </c>
      <c r="G35" s="24">
        <v>9.3654865213707895E-3</v>
      </c>
      <c r="H35" s="24">
        <v>8.0292608602538455E-3</v>
      </c>
      <c r="I35" s="24">
        <v>9.8647503842919475E-3</v>
      </c>
      <c r="J35" s="24">
        <v>5.7325872203290579E-2</v>
      </c>
      <c r="K35" s="24">
        <v>-1.145599380291901E-2</v>
      </c>
      <c r="L35" s="24">
        <v>9.9294876372850224E-3</v>
      </c>
      <c r="M35" s="24">
        <v>7.5827569675080827E-3</v>
      </c>
      <c r="N35" s="24">
        <v>4.3959970266488051E-3</v>
      </c>
    </row>
    <row r="36" spans="1:15" x14ac:dyDescent="0.35">
      <c r="A36" s="6" t="s">
        <v>342</v>
      </c>
      <c r="B36" s="24">
        <v>2.3749145216293101E-2</v>
      </c>
      <c r="C36" s="24">
        <v>1.1307217250924619E-2</v>
      </c>
      <c r="D36" s="24">
        <v>2.392859806038786E-2</v>
      </c>
      <c r="E36" s="24">
        <v>1.302300544194685E-2</v>
      </c>
      <c r="F36" s="24">
        <v>-8.8823823111167325E-3</v>
      </c>
      <c r="G36" s="24">
        <v>-6.1143064616182878E-3</v>
      </c>
      <c r="H36" s="24">
        <v>1.867783374065366E-3</v>
      </c>
      <c r="I36" s="24">
        <v>-9.7500064969722813E-3</v>
      </c>
      <c r="J36" s="24">
        <v>-1.145599380291901E-2</v>
      </c>
      <c r="K36" s="24">
        <v>0.43631593833414811</v>
      </c>
      <c r="L36" s="24">
        <v>-1.170202795390707E-2</v>
      </c>
      <c r="M36" s="24">
        <v>4.2508707363813868E-2</v>
      </c>
      <c r="N36" s="24">
        <v>3.274202714460097E-2</v>
      </c>
    </row>
    <row r="37" spans="1:15" x14ac:dyDescent="0.35">
      <c r="A37" s="6" t="s">
        <v>343</v>
      </c>
      <c r="B37" s="24">
        <v>2.0746216167026451E-3</v>
      </c>
      <c r="C37" s="24">
        <v>3.9761020403289932E-3</v>
      </c>
      <c r="D37" s="24">
        <v>-1.279307489787449E-3</v>
      </c>
      <c r="E37" s="24">
        <v>-2.103059378619388E-3</v>
      </c>
      <c r="F37" s="24">
        <v>8.9159524850448771E-3</v>
      </c>
      <c r="G37" s="24">
        <v>7.1807883862078266E-3</v>
      </c>
      <c r="H37" s="24">
        <v>5.8064759947777794E-3</v>
      </c>
      <c r="I37" s="24">
        <v>1.248686912777686E-2</v>
      </c>
      <c r="J37" s="24">
        <v>9.9294876372850224E-3</v>
      </c>
      <c r="K37" s="24">
        <v>-1.170202795390707E-2</v>
      </c>
      <c r="L37" s="24">
        <v>2.9939541566075121E-2</v>
      </c>
      <c r="M37" s="24">
        <v>6.9200558993086784E-3</v>
      </c>
      <c r="N37" s="24">
        <v>3.4489641202912358E-3</v>
      </c>
    </row>
    <row r="38" spans="1:15" x14ac:dyDescent="0.35">
      <c r="A38" s="6" t="s">
        <v>344</v>
      </c>
      <c r="B38" s="24">
        <v>6.4490698562729284E-3</v>
      </c>
      <c r="C38" s="24">
        <v>7.1232467896440704E-3</v>
      </c>
      <c r="D38" s="24">
        <v>-2.4089226952455881E-3</v>
      </c>
      <c r="E38" s="24">
        <v>8.1636368177045865E-3</v>
      </c>
      <c r="F38" s="24">
        <v>1.382527230321148E-2</v>
      </c>
      <c r="G38" s="24">
        <v>9.8883276838368211E-3</v>
      </c>
      <c r="H38" s="24">
        <v>4.4981637246154921E-3</v>
      </c>
      <c r="I38" s="24">
        <v>4.2112319004004118E-4</v>
      </c>
      <c r="J38" s="24">
        <v>7.5827569675080827E-3</v>
      </c>
      <c r="K38" s="24">
        <v>4.2508707363813868E-2</v>
      </c>
      <c r="L38" s="24">
        <v>6.9200558993086784E-3</v>
      </c>
      <c r="M38" s="24">
        <v>6.5952257860610514E-2</v>
      </c>
      <c r="N38" s="24">
        <v>1.35766636175435E-2</v>
      </c>
    </row>
    <row r="39" spans="1:15" x14ac:dyDescent="0.35">
      <c r="A39" s="6" t="s">
        <v>345</v>
      </c>
      <c r="B39" s="24">
        <v>1.900277076565644E-2</v>
      </c>
      <c r="C39" s="24">
        <v>2.5841036644849599E-2</v>
      </c>
      <c r="D39" s="24">
        <v>1.6458597002007091E-2</v>
      </c>
      <c r="E39" s="24">
        <v>1.6257879695729571E-2</v>
      </c>
      <c r="F39" s="24">
        <v>2.435235312144385E-3</v>
      </c>
      <c r="G39" s="24">
        <v>3.1606046985807662E-3</v>
      </c>
      <c r="H39" s="24">
        <v>8.8613000583525597E-3</v>
      </c>
      <c r="I39" s="24">
        <v>1.015044828731199E-3</v>
      </c>
      <c r="J39" s="24">
        <v>4.3959970266488051E-3</v>
      </c>
      <c r="K39" s="24">
        <v>3.274202714460097E-2</v>
      </c>
      <c r="L39" s="24">
        <v>3.4489641202912358E-3</v>
      </c>
      <c r="M39" s="24">
        <v>1.35766636175435E-2</v>
      </c>
      <c r="N39" s="24">
        <v>3.677742738889362E-2</v>
      </c>
    </row>
    <row r="41" spans="1:15" x14ac:dyDescent="0.35">
      <c r="A41" s="17" t="s">
        <v>348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x14ac:dyDescent="0.35">
      <c r="A42" s="6" t="s">
        <v>328</v>
      </c>
      <c r="B42" s="37">
        <f>E10</f>
        <v>8.2172572410248945E-2</v>
      </c>
      <c r="C42" s="37">
        <f>E11</f>
        <v>0</v>
      </c>
      <c r="D42" s="37">
        <f>E12</f>
        <v>0.21010406016555511</v>
      </c>
      <c r="E42" s="37">
        <f>E13</f>
        <v>0.1069519276848845</v>
      </c>
      <c r="F42" s="37">
        <f>E14</f>
        <v>3.5828814942897823E-2</v>
      </c>
      <c r="G42" s="37">
        <f>E15</f>
        <v>7.779811133345399E-2</v>
      </c>
      <c r="H42" s="37">
        <f>E16</f>
        <v>1.8566108816017501E-17</v>
      </c>
      <c r="I42" s="37">
        <f>E17</f>
        <v>6.9676986962110929E-2</v>
      </c>
      <c r="J42" s="37">
        <f>E18</f>
        <v>7.8390933028173973E-2</v>
      </c>
      <c r="K42" s="37">
        <f>E19</f>
        <v>7.2580529095126481E-2</v>
      </c>
      <c r="L42" s="37">
        <f>E20</f>
        <v>0.25</v>
      </c>
      <c r="M42" s="37">
        <f>E21</f>
        <v>1.6496064377548341E-2</v>
      </c>
      <c r="N42" s="37">
        <f>E22</f>
        <v>2.5033862015302281E-17</v>
      </c>
    </row>
    <row r="43" spans="1:15" x14ac:dyDescent="0.35">
      <c r="A43" s="6" t="s">
        <v>329</v>
      </c>
      <c r="B43" s="37">
        <f>F10</f>
        <v>6.240781208066465E-3</v>
      </c>
      <c r="C43" s="37">
        <f>F11</f>
        <v>0</v>
      </c>
      <c r="D43" s="37">
        <f>F12</f>
        <v>4.5896111758321513E-2</v>
      </c>
      <c r="E43" s="37">
        <f>F13</f>
        <v>6.2253066050606223E-2</v>
      </c>
      <c r="F43" s="37">
        <f>F14</f>
        <v>3.1144736549038071E-2</v>
      </c>
      <c r="G43" s="37">
        <f>F15</f>
        <v>0.14458940735205969</v>
      </c>
      <c r="H43" s="37">
        <f>F16</f>
        <v>1.4405352463273839E-2</v>
      </c>
      <c r="I43" s="37">
        <f>F17</f>
        <v>0.12277187962904609</v>
      </c>
      <c r="J43" s="37">
        <f>F18</f>
        <v>7.0065983824923198E-2</v>
      </c>
      <c r="K43" s="37">
        <f>F19</f>
        <v>1.688775094647476E-2</v>
      </c>
      <c r="L43" s="37">
        <f>F20</f>
        <v>0.24871096746006841</v>
      </c>
      <c r="M43" s="37">
        <f>F21</f>
        <v>5.9598054431188437E-2</v>
      </c>
      <c r="N43" s="37">
        <f>F22</f>
        <v>0.17743590832693329</v>
      </c>
    </row>
    <row r="44" spans="1:15" x14ac:dyDescent="0.35">
      <c r="A44" s="6" t="s">
        <v>330</v>
      </c>
      <c r="B44" s="37">
        <f>G10</f>
        <v>5.6399563717540332E-2</v>
      </c>
      <c r="C44" s="37">
        <f>G11</f>
        <v>5.4341879762631697E-2</v>
      </c>
      <c r="D44" s="37">
        <f>G12</f>
        <v>5.9600767852046738E-2</v>
      </c>
      <c r="E44" s="37">
        <f>G13</f>
        <v>6.6878033971455531E-2</v>
      </c>
      <c r="F44" s="37">
        <f>G14</f>
        <v>7.6402270332588409E-2</v>
      </c>
      <c r="G44" s="37">
        <f>G15</f>
        <v>9.5826395803287598E-2</v>
      </c>
      <c r="H44" s="37">
        <f>G16</f>
        <v>6.2614729712471576E-2</v>
      </c>
      <c r="I44" s="37">
        <f>G17</f>
        <v>0.1001853520278282</v>
      </c>
      <c r="J44" s="37">
        <f>G18</f>
        <v>8.7346326829056534E-2</v>
      </c>
      <c r="K44" s="37">
        <f>G19</f>
        <v>4.3187957552966297E-2</v>
      </c>
      <c r="L44" s="37">
        <f>G20</f>
        <v>0.12998784380827191</v>
      </c>
      <c r="M44" s="37">
        <f>G21</f>
        <v>7.9990739273384279E-2</v>
      </c>
      <c r="N44" s="37">
        <f>G22</f>
        <v>8.7238139356470831E-2</v>
      </c>
    </row>
    <row r="45" spans="1:15" x14ac:dyDescent="0.35">
      <c r="A45" s="6" t="s">
        <v>331</v>
      </c>
      <c r="B45" s="37">
        <f>H10</f>
        <v>1.5734504668015639E-2</v>
      </c>
      <c r="C45" s="37">
        <f>H11</f>
        <v>1.992388756886131E-2</v>
      </c>
      <c r="D45" s="37">
        <f>H12</f>
        <v>8.890806172761398E-2</v>
      </c>
      <c r="E45" s="37">
        <f>H13</f>
        <v>0.1017168481205977</v>
      </c>
      <c r="F45" s="37">
        <f>H14</f>
        <v>4.592786298106824E-2</v>
      </c>
      <c r="G45" s="37">
        <f>H15</f>
        <v>0.1121520561592317</v>
      </c>
      <c r="H45" s="37">
        <f>H16</f>
        <v>5.9129019103479813E-2</v>
      </c>
      <c r="I45" s="37">
        <f>H17</f>
        <v>0.13259578465268229</v>
      </c>
      <c r="J45" s="37">
        <f>H18</f>
        <v>9.0023417055103763E-2</v>
      </c>
      <c r="K45" s="37">
        <f>H19</f>
        <v>7.2163415416813037E-2</v>
      </c>
      <c r="L45" s="37">
        <f>H20</f>
        <v>0.174818097831068</v>
      </c>
      <c r="M45" s="37">
        <f>H21</f>
        <v>7.773627398151145E-2</v>
      </c>
      <c r="N45" s="37">
        <f>H22</f>
        <v>9.1707707339529869E-3</v>
      </c>
    </row>
    <row r="46" spans="1:15" x14ac:dyDescent="0.35">
      <c r="A46" s="6" t="s">
        <v>332</v>
      </c>
      <c r="B46" s="37">
        <f>I10</f>
        <v>7.6923076923076927E-2</v>
      </c>
      <c r="C46" s="37">
        <f>I11</f>
        <v>7.6923076923076927E-2</v>
      </c>
      <c r="D46" s="37">
        <f>I12</f>
        <v>7.6923076923076927E-2</v>
      </c>
      <c r="E46" s="37">
        <f>I13</f>
        <v>7.6923076923076927E-2</v>
      </c>
      <c r="F46" s="37">
        <f>I14</f>
        <v>7.6923076923076927E-2</v>
      </c>
      <c r="G46" s="37">
        <f>I15</f>
        <v>7.6923076923076927E-2</v>
      </c>
      <c r="H46" s="37">
        <f>I16</f>
        <v>7.6923076923076927E-2</v>
      </c>
      <c r="I46" s="37">
        <f>I17</f>
        <v>7.6923076923076927E-2</v>
      </c>
      <c r="J46" s="37">
        <f>I18</f>
        <v>7.6923076923076927E-2</v>
      </c>
      <c r="K46" s="37">
        <f>I19</f>
        <v>7.6923076923076927E-2</v>
      </c>
      <c r="L46" s="37">
        <f>I20</f>
        <v>7.6923076923076927E-2</v>
      </c>
      <c r="M46" s="37">
        <f>I21</f>
        <v>7.6923076923076927E-2</v>
      </c>
      <c r="N46" s="37">
        <f>I22</f>
        <v>7.6923076923076927E-2</v>
      </c>
    </row>
    <row r="48" spans="1:15" x14ac:dyDescent="0.35">
      <c r="A48" s="17" t="s">
        <v>349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5" x14ac:dyDescent="0.35">
      <c r="A49" s="11"/>
      <c r="B49" s="12" t="s">
        <v>327</v>
      </c>
      <c r="C49" s="12" t="s">
        <v>350</v>
      </c>
      <c r="D49" s="12" t="s">
        <v>351</v>
      </c>
      <c r="E49" s="12" t="s">
        <v>326</v>
      </c>
    </row>
    <row r="50" spans="1:5" x14ac:dyDescent="0.35">
      <c r="A50" s="6" t="s">
        <v>328</v>
      </c>
      <c r="B50" s="37">
        <f>SUMPRODUCT($E$10:$E$22,$D$10:$D$22)</f>
        <v>0.12665446414313292</v>
      </c>
      <c r="C50" s="37">
        <f>SQRT(SUMPRODUCT($B$27:$N$39*($E$10:$E$22*$B$42:$N$42)))</f>
        <v>0.13823970075282227</v>
      </c>
      <c r="D50" s="35">
        <f>(B50-$B$5)/C50</f>
        <v>0.62322517892187634</v>
      </c>
      <c r="E50" s="35">
        <f>SUMPRODUCT($E$10:$E$22,$C$10:$C$22)</f>
        <v>0.88283236390714059</v>
      </c>
    </row>
    <row r="51" spans="1:5" x14ac:dyDescent="0.35">
      <c r="A51" s="6" t="s">
        <v>329</v>
      </c>
      <c r="B51" s="37">
        <f>SUMPRODUCT($F$10:$F$22,$D$10:$D$22)</f>
        <v>9.0676101508636378E-2</v>
      </c>
      <c r="C51" s="37">
        <f>SQRT(SUMPRODUCT($B$27:$N$39*($F$10:$F$22*$B$43:$N$43)))</f>
        <v>0.10828065048007376</v>
      </c>
      <c r="D51" s="35">
        <f>(B51-$B$5)/C51</f>
        <v>0.46338934406864646</v>
      </c>
      <c r="E51" s="35">
        <f>SUMPRODUCT($F$10:$F$22,$C$10:$C$22)</f>
        <v>0.67376119001496981</v>
      </c>
    </row>
    <row r="52" spans="1:5" x14ac:dyDescent="0.35">
      <c r="A52" s="6" t="s">
        <v>330</v>
      </c>
      <c r="B52" s="37">
        <f>SUMPRODUCT($G$10:$G$22,$D$10:$D$22)</f>
        <v>0.10036675823649611</v>
      </c>
      <c r="C52" s="37">
        <f>SQRT(SUMPRODUCT($B$27:$N$39*($G$10:$G$22*$B$44:$N$44)))</f>
        <v>0.11777316948088005</v>
      </c>
      <c r="D52" s="35">
        <f>(B52-$B$5)/C52</f>
        <v>0.50832253723855658</v>
      </c>
      <c r="E52" s="35">
        <f>SUMPRODUCT($G$10:$G$22,$C$10:$C$22)</f>
        <v>0.82173900013065426</v>
      </c>
    </row>
    <row r="53" spans="1:5" x14ac:dyDescent="0.35">
      <c r="A53" s="6" t="s">
        <v>331</v>
      </c>
      <c r="B53" s="37">
        <f>SUMPRODUCT($H$10:$H$22,$D$10:$D$22)</f>
        <v>0.10674198652839376</v>
      </c>
      <c r="C53" s="37">
        <f>SQRT(SUMPRODUCT($B$27:$N$39*($H$10:$H$22*$B$45:$N$45)))</f>
        <v>0.11994170992476282</v>
      </c>
      <c r="D53" s="35">
        <f>(B53-$B$5)/C53</f>
        <v>0.55228481120202044</v>
      </c>
      <c r="E53" s="35">
        <f>SUMPRODUCT($H$10:$H$22,$C$10:$C$22)</f>
        <v>0.77920276709276459</v>
      </c>
    </row>
    <row r="54" spans="1:5" x14ac:dyDescent="0.35">
      <c r="A54" s="6" t="s">
        <v>332</v>
      </c>
      <c r="B54" s="37">
        <f>SUMPRODUCT($I$10:$I$22,$D$10:$D$22)</f>
        <v>0.10844589909957855</v>
      </c>
      <c r="C54" s="37">
        <f>SQRT(SUMPRODUCT($B$27:$N$39*($I$10:$I$22*$B$46:$N$46)))</f>
        <v>0.13159324223164892</v>
      </c>
      <c r="D54" s="35">
        <f>(B54-$B$5)/C54</f>
        <v>0.5163327237778822</v>
      </c>
      <c r="E54" s="35">
        <f>SUMPRODUCT($I$10:$I$22,$C$10:$C$22)</f>
        <v>0.89052650169093517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showGridLines="0" workbookViewId="0"/>
  </sheetViews>
  <sheetFormatPr defaultRowHeight="14.5" x14ac:dyDescent="0.35"/>
  <cols>
    <col min="1" max="1" width="50" customWidth="1"/>
    <col min="2" max="6" width="16" customWidth="1"/>
  </cols>
  <sheetData>
    <row r="1" spans="1:6" ht="20" x14ac:dyDescent="0.4">
      <c r="A1" s="10" t="s">
        <v>352</v>
      </c>
    </row>
    <row r="2" spans="1:6" x14ac:dyDescent="0.35">
      <c r="A2" s="2" t="s">
        <v>353</v>
      </c>
    </row>
    <row r="4" spans="1:6" x14ac:dyDescent="0.35">
      <c r="A4" s="11" t="s">
        <v>354</v>
      </c>
      <c r="B4" s="12" t="s">
        <v>355</v>
      </c>
      <c r="C4" s="12" t="s">
        <v>356</v>
      </c>
      <c r="D4" s="12" t="s">
        <v>357</v>
      </c>
      <c r="E4" s="12" t="s">
        <v>358</v>
      </c>
      <c r="F4" s="12" t="s">
        <v>359</v>
      </c>
    </row>
    <row r="5" spans="1:6" x14ac:dyDescent="0.35">
      <c r="A5" s="6" t="s">
        <v>360</v>
      </c>
      <c r="B5" s="42">
        <f>MAX(ABS(History!B46),ABS(History!C46),ABS(History!D46),ABS(History!E46),ABS(History!F46))</f>
        <v>0</v>
      </c>
      <c r="C5" s="24">
        <v>0</v>
      </c>
      <c r="D5" s="33">
        <f t="shared" ref="D5:D40" si="0">B5-C5</f>
        <v>0</v>
      </c>
      <c r="E5" s="43">
        <v>0.5</v>
      </c>
      <c r="F5" s="44" t="str">
        <f t="shared" ref="F5:F40" si="1">IFERROR(IF(ABS(D5)&lt;=E5,"PASS","FAIL"),"ERROR")</f>
        <v>PASS</v>
      </c>
    </row>
    <row r="6" spans="1:6" x14ac:dyDescent="0.35">
      <c r="A6" s="6" t="s">
        <v>361</v>
      </c>
      <c r="B6" s="42">
        <f ca="1">MAX(Forecast!B54:'Forecast'!L54,-MIN(Forecast!B54:'Forecast'!L54))</f>
        <v>0</v>
      </c>
      <c r="C6" s="24">
        <v>0</v>
      </c>
      <c r="D6" s="33">
        <f t="shared" ca="1" si="0"/>
        <v>0</v>
      </c>
      <c r="E6" s="43">
        <v>0.01</v>
      </c>
      <c r="F6" s="44" t="str">
        <f t="shared" ca="1" si="1"/>
        <v>PASS</v>
      </c>
    </row>
    <row r="7" spans="1:6" x14ac:dyDescent="0.35">
      <c r="A7" s="6" t="s">
        <v>362</v>
      </c>
      <c r="B7" s="42">
        <f>Forecast!L6</f>
        <v>308095.63219062093</v>
      </c>
      <c r="C7" s="24">
        <v>308095.63219062088</v>
      </c>
      <c r="D7" s="33">
        <f t="shared" si="0"/>
        <v>0</v>
      </c>
      <c r="E7" s="43">
        <v>0.01</v>
      </c>
      <c r="F7" s="44" t="str">
        <f t="shared" si="1"/>
        <v>PASS</v>
      </c>
    </row>
    <row r="8" spans="1:6" x14ac:dyDescent="0.35">
      <c r="A8" s="6" t="s">
        <v>363</v>
      </c>
      <c r="B8" s="42">
        <f ca="1">Forecast!C15</f>
        <v>17911.642562567467</v>
      </c>
      <c r="C8" s="24">
        <v>17911.642562567471</v>
      </c>
      <c r="D8" s="33">
        <f t="shared" ca="1" si="0"/>
        <v>0</v>
      </c>
      <c r="E8" s="43">
        <v>0.01</v>
      </c>
      <c r="F8" s="44" t="str">
        <f t="shared" ca="1" si="1"/>
        <v>PASS</v>
      </c>
    </row>
    <row r="9" spans="1:6" x14ac:dyDescent="0.35">
      <c r="A9" s="6" t="s">
        <v>364</v>
      </c>
      <c r="B9" s="42">
        <f ca="1">Forecast!G41</f>
        <v>25487.391251895398</v>
      </c>
      <c r="C9" s="24">
        <v>25487.391251895398</v>
      </c>
      <c r="D9" s="33">
        <f t="shared" ca="1" si="0"/>
        <v>0</v>
      </c>
      <c r="E9" s="43">
        <v>0.01</v>
      </c>
      <c r="F9" s="44" t="str">
        <f t="shared" ca="1" si="1"/>
        <v>PASS</v>
      </c>
    </row>
    <row r="10" spans="1:6" x14ac:dyDescent="0.35">
      <c r="A10" s="6" t="s">
        <v>365</v>
      </c>
      <c r="B10" s="42">
        <f ca="1">Forecast!E35</f>
        <v>5849.5695795663305</v>
      </c>
      <c r="C10" s="24">
        <v>5849.5695795663451</v>
      </c>
      <c r="D10" s="33">
        <f t="shared" ca="1" si="0"/>
        <v>-1.4551915228366852E-11</v>
      </c>
      <c r="E10" s="43">
        <v>0.01</v>
      </c>
      <c r="F10" s="44" t="str">
        <f t="shared" ca="1" si="1"/>
        <v>PASS</v>
      </c>
    </row>
    <row r="11" spans="1:6" x14ac:dyDescent="0.35">
      <c r="A11" s="6" t="s">
        <v>366</v>
      </c>
      <c r="B11" s="42">
        <f>Forecast!L57</f>
        <v>19076.616414774035</v>
      </c>
      <c r="C11" s="24">
        <v>19076.61641477406</v>
      </c>
      <c r="D11" s="33">
        <f t="shared" si="0"/>
        <v>0</v>
      </c>
      <c r="E11" s="43">
        <v>0.01</v>
      </c>
      <c r="F11" s="44" t="str">
        <f t="shared" si="1"/>
        <v>PASS</v>
      </c>
    </row>
    <row r="12" spans="1:6" x14ac:dyDescent="0.35">
      <c r="A12" s="6" t="s">
        <v>145</v>
      </c>
      <c r="B12" s="42">
        <f>DCF!B9</f>
        <v>8.2461587661319988E-2</v>
      </c>
      <c r="C12" s="24">
        <v>8.2461587661320002E-2</v>
      </c>
      <c r="D12" s="33">
        <f t="shared" si="0"/>
        <v>0</v>
      </c>
      <c r="E12" s="43">
        <v>1.0000000000000001E-9</v>
      </c>
      <c r="F12" s="44" t="str">
        <f t="shared" si="1"/>
        <v>PASS</v>
      </c>
    </row>
    <row r="13" spans="1:6" x14ac:dyDescent="0.35">
      <c r="A13" s="6" t="s">
        <v>154</v>
      </c>
      <c r="B13" s="42">
        <f>DCF!B22</f>
        <v>253060.71254106407</v>
      </c>
      <c r="C13" s="24">
        <v>253060.71254106419</v>
      </c>
      <c r="D13" s="33">
        <f t="shared" si="0"/>
        <v>0</v>
      </c>
      <c r="E13" s="43">
        <v>0.05</v>
      </c>
      <c r="F13" s="44" t="str">
        <f t="shared" si="1"/>
        <v>PASS</v>
      </c>
    </row>
    <row r="14" spans="1:6" x14ac:dyDescent="0.35">
      <c r="A14" s="6" t="s">
        <v>173</v>
      </c>
      <c r="B14" s="42">
        <f>DCF!B30</f>
        <v>189884.96254106407</v>
      </c>
      <c r="C14" s="24">
        <v>189884.96254106419</v>
      </c>
      <c r="D14" s="33">
        <f t="shared" si="0"/>
        <v>0</v>
      </c>
      <c r="E14" s="43">
        <v>0.05</v>
      </c>
      <c r="F14" s="44" t="str">
        <f t="shared" si="1"/>
        <v>PASS</v>
      </c>
    </row>
    <row r="15" spans="1:6" x14ac:dyDescent="0.35">
      <c r="A15" s="6" t="s">
        <v>367</v>
      </c>
      <c r="B15" s="42">
        <f>DCF!B34</f>
        <v>2621.1419488631068</v>
      </c>
      <c r="C15" s="24">
        <v>2621.1419488631082</v>
      </c>
      <c r="D15" s="33">
        <f t="shared" si="0"/>
        <v>0</v>
      </c>
      <c r="E15" s="43">
        <v>0.01</v>
      </c>
      <c r="F15" s="44" t="str">
        <f t="shared" si="1"/>
        <v>PASS</v>
      </c>
    </row>
    <row r="16" spans="1:6" x14ac:dyDescent="0.35">
      <c r="A16" s="6" t="s">
        <v>368</v>
      </c>
      <c r="B16" s="42">
        <f>DCF!B43</f>
        <v>2607.1468937897412</v>
      </c>
      <c r="C16" s="24">
        <v>2607.1468937897398</v>
      </c>
      <c r="D16" s="33">
        <f t="shared" si="0"/>
        <v>0</v>
      </c>
      <c r="E16" s="43">
        <v>0.01</v>
      </c>
      <c r="F16" s="44" t="str">
        <f t="shared" si="1"/>
        <v>PASS</v>
      </c>
    </row>
    <row r="17" spans="1:6" x14ac:dyDescent="0.35">
      <c r="A17" s="6" t="s">
        <v>369</v>
      </c>
      <c r="B17" s="42">
        <f>DCF!D49</f>
        <v>2621.1419488631068</v>
      </c>
      <c r="C17" s="24">
        <v>2621.1419488631082</v>
      </c>
      <c r="D17" s="33">
        <f t="shared" si="0"/>
        <v>0</v>
      </c>
      <c r="E17" s="43">
        <v>0.01</v>
      </c>
      <c r="F17" s="44" t="str">
        <f t="shared" si="1"/>
        <v>PASS</v>
      </c>
    </row>
    <row r="18" spans="1:6" x14ac:dyDescent="0.35">
      <c r="A18" s="6" t="s">
        <v>370</v>
      </c>
      <c r="B18" s="42">
        <f ca="1">Forecast!D10</f>
        <v>4671</v>
      </c>
      <c r="C18" s="24">
        <v>4671</v>
      </c>
      <c r="D18" s="33">
        <f t="shared" ca="1" si="0"/>
        <v>0</v>
      </c>
      <c r="E18" s="43">
        <v>0.01</v>
      </c>
      <c r="F18" s="44" t="str">
        <f t="shared" ca="1" si="1"/>
        <v>PASS</v>
      </c>
    </row>
    <row r="19" spans="1:6" x14ac:dyDescent="0.35">
      <c r="A19" s="6" t="s">
        <v>371</v>
      </c>
      <c r="B19" s="42">
        <f ca="1">Forecast!L51</f>
        <v>195159.27269509726</v>
      </c>
      <c r="C19" s="24">
        <v>195159.27269509729</v>
      </c>
      <c r="D19" s="33">
        <f t="shared" ca="1" si="0"/>
        <v>0</v>
      </c>
      <c r="E19" s="43">
        <v>0.01</v>
      </c>
      <c r="F19" s="44" t="str">
        <f t="shared" ca="1" si="1"/>
        <v>PASS</v>
      </c>
    </row>
    <row r="20" spans="1:6" x14ac:dyDescent="0.35">
      <c r="A20" s="6" t="s">
        <v>372</v>
      </c>
      <c r="B20" s="42">
        <f>LBO!B55</f>
        <v>25413.050880000003</v>
      </c>
      <c r="C20" s="24">
        <v>25413.050879999999</v>
      </c>
      <c r="D20" s="33">
        <f t="shared" si="0"/>
        <v>0</v>
      </c>
      <c r="E20" s="43">
        <v>0.01</v>
      </c>
      <c r="F20" s="44" t="str">
        <f t="shared" si="1"/>
        <v>PASS</v>
      </c>
    </row>
    <row r="21" spans="1:6" x14ac:dyDescent="0.35">
      <c r="A21" s="6" t="s">
        <v>373</v>
      </c>
      <c r="B21" s="42">
        <f ca="1">LBO!C75</f>
        <v>2721.8917863608617</v>
      </c>
      <c r="C21" s="24">
        <v>2721.8917863611809</v>
      </c>
      <c r="D21" s="33">
        <f t="shared" ca="1" si="0"/>
        <v>-3.1923264032229781E-10</v>
      </c>
      <c r="E21" s="43">
        <v>0.01</v>
      </c>
      <c r="F21" s="44" t="str">
        <f t="shared" ca="1" si="1"/>
        <v>PASS</v>
      </c>
    </row>
    <row r="22" spans="1:6" x14ac:dyDescent="0.35">
      <c r="A22" s="6" t="s">
        <v>374</v>
      </c>
      <c r="B22" s="42">
        <f ca="1">LBO!G87</f>
        <v>9976.8266140098167</v>
      </c>
      <c r="C22" s="24">
        <v>9976.8266140124142</v>
      </c>
      <c r="D22" s="33">
        <f t="shared" ca="1" si="0"/>
        <v>-2.597516868263483E-9</v>
      </c>
      <c r="E22" s="43">
        <v>0.01</v>
      </c>
      <c r="F22" s="44" t="str">
        <f t="shared" ca="1" si="1"/>
        <v>PASS</v>
      </c>
    </row>
    <row r="23" spans="1:6" x14ac:dyDescent="0.35">
      <c r="A23" s="6" t="s">
        <v>375</v>
      </c>
      <c r="B23" s="42">
        <f ca="1">LBO!B103</f>
        <v>6.5795311047704752E-2</v>
      </c>
      <c r="C23" s="24">
        <v>6.5795311047688765E-2</v>
      </c>
      <c r="D23" s="33">
        <f t="shared" ca="1" si="0"/>
        <v>1.5987211554602254E-14</v>
      </c>
      <c r="E23" s="43">
        <v>9.9999999999999995E-7</v>
      </c>
      <c r="F23" s="44" t="str">
        <f t="shared" ca="1" si="1"/>
        <v>PASS</v>
      </c>
    </row>
    <row r="24" spans="1:6" x14ac:dyDescent="0.35">
      <c r="A24" s="6" t="s">
        <v>376</v>
      </c>
      <c r="B24" s="42">
        <f ca="1">LBO!B102</f>
        <v>1.3752100141481274</v>
      </c>
      <c r="C24" s="24">
        <v>1.375210014148025</v>
      </c>
      <c r="D24" s="33">
        <f t="shared" ca="1" si="0"/>
        <v>1.0236256287043943E-13</v>
      </c>
      <c r="E24" s="43">
        <v>9.9999999999999995E-7</v>
      </c>
      <c r="F24" s="44" t="str">
        <f t="shared" ca="1" si="1"/>
        <v>PASS</v>
      </c>
    </row>
    <row r="25" spans="1:6" x14ac:dyDescent="0.35">
      <c r="A25" s="6" t="s">
        <v>377</v>
      </c>
      <c r="B25" s="42">
        <f>Merger!B33</f>
        <v>156021.40531985404</v>
      </c>
      <c r="C25" s="24">
        <v>156021.40531985409</v>
      </c>
      <c r="D25" s="33">
        <f t="shared" si="0"/>
        <v>0</v>
      </c>
      <c r="E25" s="43">
        <v>0.01</v>
      </c>
      <c r="F25" s="44" t="str">
        <f t="shared" si="1"/>
        <v>PASS</v>
      </c>
    </row>
    <row r="26" spans="1:6" x14ac:dyDescent="0.35">
      <c r="A26" s="6" t="s">
        <v>378</v>
      </c>
      <c r="B26" s="42">
        <f>Merger!B44</f>
        <v>79443.580166050218</v>
      </c>
      <c r="C26" s="24">
        <v>79443.580166050247</v>
      </c>
      <c r="D26" s="33">
        <f t="shared" si="0"/>
        <v>0</v>
      </c>
      <c r="E26" s="43">
        <v>0.01</v>
      </c>
      <c r="F26" s="44" t="str">
        <f t="shared" si="1"/>
        <v>PASS</v>
      </c>
    </row>
    <row r="27" spans="1:6" x14ac:dyDescent="0.35">
      <c r="A27" s="6" t="s">
        <v>379</v>
      </c>
      <c r="B27" s="42">
        <f>Merger!B39</f>
        <v>0.21292691562276481</v>
      </c>
      <c r="C27" s="24">
        <v>0.21292691562276481</v>
      </c>
      <c r="D27" s="33">
        <f t="shared" si="0"/>
        <v>0</v>
      </c>
      <c r="E27" s="43">
        <v>1.0000000000000001E-9</v>
      </c>
      <c r="F27" s="44" t="str">
        <f t="shared" si="1"/>
        <v>PASS</v>
      </c>
    </row>
    <row r="28" spans="1:6" x14ac:dyDescent="0.35">
      <c r="A28" s="6" t="s">
        <v>380</v>
      </c>
      <c r="B28" s="42">
        <f>Merger!B51</f>
        <v>108232.39548756799</v>
      </c>
      <c r="C28" s="24">
        <v>108232.39548756809</v>
      </c>
      <c r="D28" s="33">
        <f t="shared" si="0"/>
        <v>0</v>
      </c>
      <c r="E28" s="43">
        <v>0.01</v>
      </c>
      <c r="F28" s="44" t="str">
        <f t="shared" si="1"/>
        <v>PASS</v>
      </c>
    </row>
    <row r="29" spans="1:6" x14ac:dyDescent="0.35">
      <c r="A29" s="6" t="s">
        <v>381</v>
      </c>
      <c r="B29" s="42">
        <f>Merger!D60</f>
        <v>0.16823331344465076</v>
      </c>
      <c r="C29" s="24">
        <v>0.16823331344465081</v>
      </c>
      <c r="D29" s="33">
        <f t="shared" si="0"/>
        <v>0</v>
      </c>
      <c r="E29" s="43">
        <v>9.9999999999999995E-7</v>
      </c>
      <c r="F29" s="44" t="str">
        <f t="shared" si="1"/>
        <v>PASS</v>
      </c>
    </row>
    <row r="30" spans="1:6" x14ac:dyDescent="0.35">
      <c r="A30" s="6" t="s">
        <v>382</v>
      </c>
      <c r="B30" s="42">
        <f>Portfolio!C50</f>
        <v>0.13823970075282227</v>
      </c>
      <c r="C30" s="24">
        <v>0.13823970075282219</v>
      </c>
      <c r="D30" s="33">
        <f t="shared" si="0"/>
        <v>0</v>
      </c>
      <c r="E30" s="43">
        <v>1E-8</v>
      </c>
      <c r="F30" s="44" t="str">
        <f t="shared" si="1"/>
        <v>PASS</v>
      </c>
    </row>
    <row r="31" spans="1:6" x14ac:dyDescent="0.35">
      <c r="A31" s="6" t="s">
        <v>383</v>
      </c>
      <c r="B31" s="42">
        <f>Portfolio!B50</f>
        <v>0.12665446414313292</v>
      </c>
      <c r="C31" s="24">
        <v>0.12665446414313289</v>
      </c>
      <c r="D31" s="33">
        <f t="shared" si="0"/>
        <v>0</v>
      </c>
      <c r="E31" s="43">
        <v>1E-8</v>
      </c>
      <c r="F31" s="44" t="str">
        <f t="shared" si="1"/>
        <v>PASS</v>
      </c>
    </row>
    <row r="32" spans="1:6" x14ac:dyDescent="0.35">
      <c r="A32" s="6" t="s">
        <v>384</v>
      </c>
      <c r="B32" s="42">
        <f>Portfolio!C51</f>
        <v>0.10828065048007376</v>
      </c>
      <c r="C32" s="24">
        <v>0.10828065048007381</v>
      </c>
      <c r="D32" s="33">
        <f t="shared" si="0"/>
        <v>0</v>
      </c>
      <c r="E32" s="43">
        <v>1E-8</v>
      </c>
      <c r="F32" s="44" t="str">
        <f t="shared" si="1"/>
        <v>PASS</v>
      </c>
    </row>
    <row r="33" spans="1:6" x14ac:dyDescent="0.35">
      <c r="A33" s="6" t="s">
        <v>385</v>
      </c>
      <c r="B33" s="42">
        <f>Portfolio!B51</f>
        <v>9.0676101508636378E-2</v>
      </c>
      <c r="C33" s="24">
        <v>9.0676101508636378E-2</v>
      </c>
      <c r="D33" s="33">
        <f t="shared" si="0"/>
        <v>0</v>
      </c>
      <c r="E33" s="43">
        <v>1E-8</v>
      </c>
      <c r="F33" s="44" t="str">
        <f t="shared" si="1"/>
        <v>PASS</v>
      </c>
    </row>
    <row r="34" spans="1:6" x14ac:dyDescent="0.35">
      <c r="A34" s="6" t="s">
        <v>386</v>
      </c>
      <c r="B34" s="42">
        <f>Portfolio!C52</f>
        <v>0.11777316948088005</v>
      </c>
      <c r="C34" s="24">
        <v>0.1177731694808801</v>
      </c>
      <c r="D34" s="33">
        <f t="shared" si="0"/>
        <v>0</v>
      </c>
      <c r="E34" s="43">
        <v>1E-8</v>
      </c>
      <c r="F34" s="44" t="str">
        <f t="shared" si="1"/>
        <v>PASS</v>
      </c>
    </row>
    <row r="35" spans="1:6" x14ac:dyDescent="0.35">
      <c r="A35" s="6" t="s">
        <v>387</v>
      </c>
      <c r="B35" s="42">
        <f>Portfolio!B52</f>
        <v>0.10036675823649611</v>
      </c>
      <c r="C35" s="24">
        <v>0.1003667582364961</v>
      </c>
      <c r="D35" s="33">
        <f t="shared" si="0"/>
        <v>0</v>
      </c>
      <c r="E35" s="43">
        <v>1E-8</v>
      </c>
      <c r="F35" s="44" t="str">
        <f t="shared" si="1"/>
        <v>PASS</v>
      </c>
    </row>
    <row r="36" spans="1:6" x14ac:dyDescent="0.35">
      <c r="A36" s="6" t="s">
        <v>388</v>
      </c>
      <c r="B36" s="42">
        <f>Portfolio!C53</f>
        <v>0.11994170992476282</v>
      </c>
      <c r="C36" s="24">
        <v>0.1199417099247628</v>
      </c>
      <c r="D36" s="33">
        <f t="shared" si="0"/>
        <v>0</v>
      </c>
      <c r="E36" s="43">
        <v>1E-8</v>
      </c>
      <c r="F36" s="44" t="str">
        <f t="shared" si="1"/>
        <v>PASS</v>
      </c>
    </row>
    <row r="37" spans="1:6" x14ac:dyDescent="0.35">
      <c r="A37" s="6" t="s">
        <v>389</v>
      </c>
      <c r="B37" s="42">
        <f>Portfolio!B53</f>
        <v>0.10674198652839376</v>
      </c>
      <c r="C37" s="24">
        <v>0.1067419865283937</v>
      </c>
      <c r="D37" s="33">
        <f t="shared" si="0"/>
        <v>0</v>
      </c>
      <c r="E37" s="43">
        <v>1E-8</v>
      </c>
      <c r="F37" s="44" t="str">
        <f t="shared" si="1"/>
        <v>PASS</v>
      </c>
    </row>
    <row r="38" spans="1:6" x14ac:dyDescent="0.35">
      <c r="A38" s="6" t="s">
        <v>390</v>
      </c>
      <c r="B38" s="42">
        <f>Portfolio!C54</f>
        <v>0.13159324223164892</v>
      </c>
      <c r="C38" s="24">
        <v>0.13159324223164889</v>
      </c>
      <c r="D38" s="33">
        <f t="shared" si="0"/>
        <v>0</v>
      </c>
      <c r="E38" s="43">
        <v>1E-8</v>
      </c>
      <c r="F38" s="44" t="str">
        <f t="shared" si="1"/>
        <v>PASS</v>
      </c>
    </row>
    <row r="39" spans="1:6" x14ac:dyDescent="0.35">
      <c r="A39" s="6" t="s">
        <v>391</v>
      </c>
      <c r="B39" s="42">
        <f>Portfolio!B54</f>
        <v>0.10844589909957855</v>
      </c>
      <c r="C39" s="24">
        <v>0.10844589909957859</v>
      </c>
      <c r="D39" s="33">
        <f t="shared" si="0"/>
        <v>0</v>
      </c>
      <c r="E39" s="43">
        <v>1E-8</v>
      </c>
      <c r="F39" s="44" t="str">
        <f t="shared" si="1"/>
        <v>PASS</v>
      </c>
    </row>
    <row r="40" spans="1:6" x14ac:dyDescent="0.35">
      <c r="A40" s="6" t="s">
        <v>392</v>
      </c>
      <c r="B40" s="42">
        <f>MAX(ABS(Portfolio!E23-1),ABS(Portfolio!F23-1),ABS(Portfolio!G23-1),ABS(Portfolio!H23-1),ABS(Portfolio!I23-1))</f>
        <v>2.2204460492503131E-16</v>
      </c>
      <c r="C40" s="24">
        <v>0</v>
      </c>
      <c r="D40" s="33">
        <f t="shared" si="0"/>
        <v>2.2204460492503131E-16</v>
      </c>
      <c r="E40" s="43">
        <v>9.9999999999999995E-7</v>
      </c>
      <c r="F40" s="44" t="str">
        <f t="shared" si="1"/>
        <v>PASS</v>
      </c>
    </row>
    <row r="42" spans="1:6" x14ac:dyDescent="0.35">
      <c r="A42" s="3" t="s">
        <v>393</v>
      </c>
      <c r="F42" s="44" t="str">
        <f ca="1">IF(COUNTIF(F5:F40,"PASS")=ROWS(F5:F40),"ALL PASS",ROWS(F5:F40)-COUNTIF(F5:F40,"PASS")&amp;" NOT PASSING")</f>
        <v>ALL PASS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2" customWidth="1"/>
    <col min="2" max="7" width="13" customWidth="1"/>
  </cols>
  <sheetData>
    <row r="1" spans="1:6" ht="20" x14ac:dyDescent="0.4">
      <c r="A1" s="10" t="s">
        <v>394</v>
      </c>
    </row>
    <row r="2" spans="1:6" x14ac:dyDescent="0.35">
      <c r="A2" s="2" t="s">
        <v>395</v>
      </c>
    </row>
    <row r="4" spans="1:6" x14ac:dyDescent="0.35">
      <c r="A4" s="11" t="s">
        <v>396</v>
      </c>
      <c r="B4" s="12" t="s">
        <v>397</v>
      </c>
      <c r="C4" s="12" t="s">
        <v>398</v>
      </c>
      <c r="D4" s="12" t="s">
        <v>399</v>
      </c>
      <c r="E4" s="12" t="s">
        <v>400</v>
      </c>
      <c r="F4" s="12" t="s">
        <v>401</v>
      </c>
    </row>
    <row r="5" spans="1:6" x14ac:dyDescent="0.35">
      <c r="A5" s="6" t="s">
        <v>95</v>
      </c>
      <c r="B5" s="16">
        <v>261504</v>
      </c>
      <c r="C5" s="16">
        <v>381314</v>
      </c>
      <c r="D5" s="16">
        <v>316620</v>
      </c>
      <c r="E5" s="16">
        <v>284312</v>
      </c>
      <c r="F5" s="16">
        <v>266886</v>
      </c>
    </row>
    <row r="6" spans="1:6" x14ac:dyDescent="0.35">
      <c r="A6" s="6" t="s">
        <v>402</v>
      </c>
      <c r="B6" s="16">
        <v>29829</v>
      </c>
      <c r="C6" s="16">
        <v>64815</v>
      </c>
      <c r="D6" s="16">
        <v>32627</v>
      </c>
      <c r="E6" s="16">
        <v>29922</v>
      </c>
      <c r="F6" s="16">
        <v>29756</v>
      </c>
    </row>
    <row r="7" spans="1:6" x14ac:dyDescent="0.35">
      <c r="A7" s="6" t="s">
        <v>403</v>
      </c>
      <c r="B7" s="16">
        <v>9199</v>
      </c>
      <c r="C7" s="16">
        <v>21941</v>
      </c>
      <c r="D7" s="16">
        <v>12991</v>
      </c>
      <c r="E7" s="16">
        <v>13401</v>
      </c>
      <c r="F7" s="16">
        <v>11637</v>
      </c>
    </row>
    <row r="8" spans="1:6" x14ac:dyDescent="0.35">
      <c r="A8" s="6" t="s">
        <v>103</v>
      </c>
      <c r="B8" s="16">
        <v>20630</v>
      </c>
      <c r="C8" s="16">
        <v>42874</v>
      </c>
      <c r="D8" s="16">
        <v>19636</v>
      </c>
      <c r="E8" s="16">
        <v>16521</v>
      </c>
      <c r="F8" s="16">
        <v>18119</v>
      </c>
    </row>
    <row r="9" spans="1:6" x14ac:dyDescent="0.35">
      <c r="A9" s="6" t="s">
        <v>105</v>
      </c>
      <c r="B9" s="16">
        <v>20101</v>
      </c>
      <c r="C9" s="16">
        <v>42309</v>
      </c>
      <c r="D9" s="16">
        <v>19359</v>
      </c>
      <c r="E9" s="16">
        <v>16094</v>
      </c>
      <c r="F9" s="16">
        <v>17837</v>
      </c>
    </row>
    <row r="10" spans="1:6" x14ac:dyDescent="0.35">
      <c r="A10" s="6" t="s">
        <v>404</v>
      </c>
      <c r="B10" s="16">
        <v>26921</v>
      </c>
      <c r="C10" s="16">
        <v>18529</v>
      </c>
      <c r="D10" s="16">
        <v>31290</v>
      </c>
      <c r="E10" s="16">
        <v>26872</v>
      </c>
      <c r="F10" s="16">
        <v>25299</v>
      </c>
    </row>
    <row r="11" spans="1:6" x14ac:dyDescent="0.35">
      <c r="A11" s="6" t="s">
        <v>99</v>
      </c>
      <c r="B11" s="16">
        <v>3607</v>
      </c>
      <c r="C11" s="16">
        <v>3181</v>
      </c>
      <c r="D11" s="16">
        <v>4673</v>
      </c>
      <c r="E11" s="16">
        <v>4787</v>
      </c>
      <c r="F11" s="16">
        <v>4671</v>
      </c>
    </row>
    <row r="12" spans="1:6" x14ac:dyDescent="0.35">
      <c r="A12" s="6" t="s">
        <v>110</v>
      </c>
      <c r="B12" s="16">
        <v>45104</v>
      </c>
      <c r="C12" s="16">
        <v>68414</v>
      </c>
      <c r="D12" s="16">
        <v>54191</v>
      </c>
      <c r="E12" s="16">
        <v>54687</v>
      </c>
      <c r="F12" s="16">
        <v>42863</v>
      </c>
    </row>
    <row r="13" spans="1:6" x14ac:dyDescent="0.35">
      <c r="A13" s="6" t="s">
        <v>112</v>
      </c>
      <c r="B13" s="16">
        <v>-4761</v>
      </c>
      <c r="C13" s="16">
        <v>-22448</v>
      </c>
      <c r="D13" s="16">
        <v>-17734</v>
      </c>
      <c r="E13" s="16">
        <v>-15155</v>
      </c>
      <c r="F13" s="16">
        <v>-16811</v>
      </c>
    </row>
    <row r="14" spans="1:6" x14ac:dyDescent="0.35">
      <c r="A14" s="6" t="s">
        <v>118</v>
      </c>
      <c r="B14" s="16">
        <v>-34664</v>
      </c>
      <c r="C14" s="16">
        <v>-41954</v>
      </c>
      <c r="D14" s="16">
        <v>-38235</v>
      </c>
      <c r="E14" s="16">
        <v>-38435</v>
      </c>
      <c r="F14" s="16">
        <v>-35812</v>
      </c>
    </row>
    <row r="15" spans="1:6" x14ac:dyDescent="0.35">
      <c r="A15" s="6" t="s">
        <v>46</v>
      </c>
      <c r="B15" s="16">
        <v>19000</v>
      </c>
      <c r="C15" s="16">
        <v>22600</v>
      </c>
      <c r="D15" s="16">
        <v>22993</v>
      </c>
      <c r="E15" s="16">
        <v>19601</v>
      </c>
      <c r="F15" s="16">
        <v>18947</v>
      </c>
    </row>
    <row r="16" spans="1:6" x14ac:dyDescent="0.35">
      <c r="A16" s="6" t="s">
        <v>405</v>
      </c>
      <c r="B16" s="16">
        <v>6669</v>
      </c>
      <c r="C16" s="16">
        <v>7489</v>
      </c>
      <c r="D16" s="16">
        <v>9153</v>
      </c>
      <c r="E16" s="16">
        <v>8976</v>
      </c>
      <c r="F16" s="16">
        <v>8619</v>
      </c>
    </row>
    <row r="17" spans="1:6" x14ac:dyDescent="0.35">
      <c r="A17" s="6" t="s">
        <v>117</v>
      </c>
      <c r="B17" s="16">
        <v>2889</v>
      </c>
      <c r="C17" s="16">
        <v>18437</v>
      </c>
      <c r="D17" s="16">
        <v>14617</v>
      </c>
      <c r="E17" s="16">
        <v>13898</v>
      </c>
      <c r="F17" s="16">
        <v>13879</v>
      </c>
    </row>
    <row r="18" spans="1:6" x14ac:dyDescent="0.35">
      <c r="A18" s="6" t="s">
        <v>125</v>
      </c>
      <c r="B18" s="16">
        <v>404379</v>
      </c>
      <c r="C18" s="16">
        <v>443024</v>
      </c>
      <c r="D18" s="16">
        <v>406270</v>
      </c>
      <c r="E18" s="16">
        <v>387609</v>
      </c>
      <c r="F18" s="16">
        <v>370350</v>
      </c>
    </row>
    <row r="19" spans="1:6" x14ac:dyDescent="0.35">
      <c r="A19" s="6" t="s">
        <v>406</v>
      </c>
      <c r="B19" s="16">
        <v>128765</v>
      </c>
      <c r="C19" s="16">
        <v>165938</v>
      </c>
      <c r="D19" s="16">
        <v>134115</v>
      </c>
      <c r="E19" s="16">
        <v>127926</v>
      </c>
      <c r="F19" s="16">
        <v>107173</v>
      </c>
    </row>
    <row r="20" spans="1:6" x14ac:dyDescent="0.35">
      <c r="A20" s="6" t="s">
        <v>407</v>
      </c>
      <c r="B20" s="16">
        <v>36970</v>
      </c>
      <c r="C20" s="16">
        <v>40246</v>
      </c>
      <c r="D20" s="16">
        <v>38774</v>
      </c>
      <c r="E20" s="16">
        <v>39110</v>
      </c>
      <c r="F20" s="16">
        <v>30216</v>
      </c>
    </row>
    <row r="21" spans="1:6" x14ac:dyDescent="0.35">
      <c r="A21" s="6" t="s">
        <v>56</v>
      </c>
      <c r="B21" s="16">
        <v>25258</v>
      </c>
      <c r="C21" s="16">
        <v>31894</v>
      </c>
      <c r="D21" s="16">
        <v>26019</v>
      </c>
      <c r="E21" s="16">
        <v>23426</v>
      </c>
      <c r="F21" s="16">
        <v>22216</v>
      </c>
    </row>
    <row r="22" spans="1:6" x14ac:dyDescent="0.35">
      <c r="A22" s="6" t="s">
        <v>408</v>
      </c>
      <c r="B22" s="16">
        <v>53208</v>
      </c>
      <c r="C22" s="16">
        <v>66510</v>
      </c>
      <c r="D22" s="16">
        <v>53273</v>
      </c>
      <c r="E22" s="16">
        <v>45860</v>
      </c>
      <c r="F22" s="16">
        <v>44597</v>
      </c>
    </row>
    <row r="23" spans="1:6" x14ac:dyDescent="0.35">
      <c r="A23" s="6" t="s">
        <v>409</v>
      </c>
      <c r="B23" s="16">
        <v>194932</v>
      </c>
      <c r="C23" s="16">
        <v>198642</v>
      </c>
      <c r="D23" s="16">
        <v>194835</v>
      </c>
      <c r="E23" s="16">
        <v>185219</v>
      </c>
      <c r="F23" s="16">
        <v>185077</v>
      </c>
    </row>
    <row r="24" spans="1:6" x14ac:dyDescent="0.35">
      <c r="A24" s="6" t="s">
        <v>123</v>
      </c>
      <c r="B24" s="16">
        <v>14920</v>
      </c>
      <c r="C24" s="16">
        <v>16039</v>
      </c>
      <c r="D24" s="16">
        <v>16660</v>
      </c>
      <c r="E24" s="16">
        <v>16032</v>
      </c>
      <c r="F24" s="16">
        <v>15662</v>
      </c>
    </row>
    <row r="25" spans="1:6" x14ac:dyDescent="0.35">
      <c r="A25" s="6" t="s">
        <v>410</v>
      </c>
      <c r="B25" s="16">
        <v>9773</v>
      </c>
      <c r="C25" s="16">
        <v>9662</v>
      </c>
      <c r="D25" s="16">
        <v>10253</v>
      </c>
      <c r="E25" s="16">
        <v>9480</v>
      </c>
      <c r="F25" s="16">
        <v>11010</v>
      </c>
    </row>
    <row r="26" spans="1:6" x14ac:dyDescent="0.35">
      <c r="A26" s="6" t="s">
        <v>130</v>
      </c>
      <c r="B26" s="16">
        <v>229053</v>
      </c>
      <c r="C26" s="16">
        <v>250427</v>
      </c>
      <c r="D26" s="16">
        <v>217908</v>
      </c>
      <c r="E26" s="16">
        <v>207441</v>
      </c>
      <c r="F26" s="16">
        <v>195031</v>
      </c>
    </row>
    <row r="27" spans="1:6" x14ac:dyDescent="0.35">
      <c r="A27" s="6" t="s">
        <v>411</v>
      </c>
      <c r="B27" s="16">
        <v>95547</v>
      </c>
      <c r="C27" s="16">
        <v>121311</v>
      </c>
      <c r="D27" s="16">
        <v>95467</v>
      </c>
      <c r="E27" s="16">
        <v>95034</v>
      </c>
      <c r="F27" s="16">
        <v>82415</v>
      </c>
    </row>
    <row r="28" spans="1:6" x14ac:dyDescent="0.35">
      <c r="A28" s="6" t="s">
        <v>412</v>
      </c>
      <c r="B28" s="16">
        <v>63173</v>
      </c>
      <c r="C28" s="16">
        <v>79357</v>
      </c>
      <c r="D28" s="16">
        <v>68237</v>
      </c>
      <c r="E28" s="16">
        <v>60693</v>
      </c>
      <c r="F28" s="16">
        <v>57770</v>
      </c>
    </row>
    <row r="29" spans="1:6" x14ac:dyDescent="0.35">
      <c r="A29" s="6" t="s">
        <v>413</v>
      </c>
      <c r="B29" s="16">
        <v>8218</v>
      </c>
      <c r="C29" s="16">
        <v>9001</v>
      </c>
      <c r="D29" s="16">
        <v>9931</v>
      </c>
      <c r="E29" s="16">
        <v>11630</v>
      </c>
      <c r="F29" s="16">
        <v>9128</v>
      </c>
    </row>
    <row r="30" spans="1:6" x14ac:dyDescent="0.35">
      <c r="A30" s="6" t="s">
        <v>414</v>
      </c>
      <c r="B30" s="16">
        <v>80868</v>
      </c>
      <c r="C30" s="16">
        <v>74794</v>
      </c>
      <c r="D30" s="16">
        <v>71610</v>
      </c>
      <c r="E30" s="16">
        <v>65448</v>
      </c>
      <c r="F30" s="16">
        <v>66515</v>
      </c>
    </row>
    <row r="31" spans="1:6" x14ac:dyDescent="0.35">
      <c r="A31" s="6" t="s">
        <v>128</v>
      </c>
      <c r="B31" s="16">
        <v>27507</v>
      </c>
      <c r="C31" s="16">
        <v>27643</v>
      </c>
      <c r="D31" s="16">
        <v>27709</v>
      </c>
      <c r="E31" s="16">
        <v>28702</v>
      </c>
      <c r="F31" s="16">
        <v>28933</v>
      </c>
    </row>
    <row r="32" spans="1:6" x14ac:dyDescent="0.35">
      <c r="A32" s="6" t="s">
        <v>132</v>
      </c>
      <c r="B32" s="16">
        <v>175326</v>
      </c>
      <c r="C32" s="16">
        <v>192597</v>
      </c>
      <c r="D32" s="16">
        <v>188362</v>
      </c>
      <c r="E32" s="16">
        <v>180168</v>
      </c>
      <c r="F32" s="16">
        <v>175319</v>
      </c>
    </row>
    <row r="33" spans="1:6" x14ac:dyDescent="0.35">
      <c r="A33" s="6" t="s">
        <v>289</v>
      </c>
      <c r="B33" s="16">
        <v>171966</v>
      </c>
      <c r="C33" s="16">
        <v>190472</v>
      </c>
      <c r="D33" s="16">
        <v>186607</v>
      </c>
      <c r="E33" s="16">
        <v>178307</v>
      </c>
      <c r="F33" s="16">
        <v>174392</v>
      </c>
    </row>
    <row r="34" spans="1:6" x14ac:dyDescent="0.35">
      <c r="A34" s="6" t="s">
        <v>415</v>
      </c>
      <c r="B34" s="16">
        <v>3360</v>
      </c>
      <c r="C34" s="16">
        <v>2125</v>
      </c>
      <c r="D34" s="16">
        <v>1755</v>
      </c>
      <c r="E34" s="16">
        <v>1861</v>
      </c>
      <c r="F34" s="16">
        <v>927</v>
      </c>
    </row>
    <row r="35" spans="1:6" x14ac:dyDescent="0.35">
      <c r="A35" s="6" t="s">
        <v>416</v>
      </c>
      <c r="B35" s="16">
        <v>52556</v>
      </c>
      <c r="C35" s="16">
        <v>44837</v>
      </c>
      <c r="D35" s="16">
        <v>43542</v>
      </c>
      <c r="E35" s="16">
        <v>38809</v>
      </c>
      <c r="F35" s="16">
        <v>45687</v>
      </c>
    </row>
    <row r="36" spans="1:6" x14ac:dyDescent="0.35">
      <c r="A36" s="6" t="s">
        <v>417</v>
      </c>
      <c r="B36" s="16">
        <v>7056</v>
      </c>
      <c r="C36" s="16">
        <v>915</v>
      </c>
      <c r="D36" s="16">
        <v>2838</v>
      </c>
      <c r="E36" s="16">
        <v>1724</v>
      </c>
      <c r="F36" s="16">
        <v>5227</v>
      </c>
    </row>
    <row r="37" spans="1:6" x14ac:dyDescent="0.35">
      <c r="A37" s="6" t="s">
        <v>418</v>
      </c>
      <c r="B37" s="16">
        <v>4097</v>
      </c>
      <c r="C37" s="16">
        <v>3972</v>
      </c>
      <c r="D37" s="16">
        <v>3725</v>
      </c>
      <c r="E37" s="16">
        <v>2993</v>
      </c>
      <c r="F37" s="16">
        <v>1618</v>
      </c>
    </row>
    <row r="38" spans="1:6" x14ac:dyDescent="0.35">
      <c r="A38" s="6" t="s">
        <v>419</v>
      </c>
      <c r="B38" s="16">
        <v>23415</v>
      </c>
      <c r="C38" s="16">
        <v>23864</v>
      </c>
      <c r="D38" s="16">
        <v>24457</v>
      </c>
      <c r="E38" s="16">
        <v>23445</v>
      </c>
      <c r="F38" s="16">
        <v>27775</v>
      </c>
    </row>
    <row r="39" spans="1:6" x14ac:dyDescent="0.35">
      <c r="A39" s="6" t="s">
        <v>420</v>
      </c>
      <c r="B39" s="16">
        <v>3851</v>
      </c>
      <c r="C39" s="16">
        <v>-3864</v>
      </c>
      <c r="D39" s="16">
        <v>8185</v>
      </c>
      <c r="E39" s="16">
        <v>4169</v>
      </c>
      <c r="F39" s="16">
        <v>3133</v>
      </c>
    </row>
    <row r="40" spans="1:6" x14ac:dyDescent="0.35">
      <c r="A40" s="6" t="s">
        <v>421</v>
      </c>
      <c r="B40" s="16">
        <v>23070</v>
      </c>
      <c r="C40" s="16">
        <v>22393</v>
      </c>
      <c r="D40" s="16">
        <v>23105</v>
      </c>
      <c r="E40" s="16">
        <v>22703</v>
      </c>
      <c r="F40" s="16">
        <v>22166</v>
      </c>
    </row>
    <row r="41" spans="1:6" x14ac:dyDescent="0.35">
      <c r="A41" s="6" t="s">
        <v>422</v>
      </c>
      <c r="B41" s="16">
        <v>4790</v>
      </c>
      <c r="C41" s="16">
        <v>4556</v>
      </c>
      <c r="D41" s="16">
        <v>5740</v>
      </c>
      <c r="E41" s="16">
        <v>5169</v>
      </c>
      <c r="F41" s="16">
        <v>5261</v>
      </c>
    </row>
    <row r="42" spans="1:6" x14ac:dyDescent="0.35">
      <c r="A42" s="6" t="s">
        <v>423</v>
      </c>
      <c r="B42" s="16">
        <v>22000</v>
      </c>
      <c r="C42" s="16">
        <v>20000</v>
      </c>
      <c r="D42" s="16">
        <v>19000</v>
      </c>
      <c r="E42" s="16">
        <v>18000</v>
      </c>
      <c r="F42" s="16">
        <v>18801</v>
      </c>
    </row>
    <row r="43" spans="1:6" x14ac:dyDescent="0.35">
      <c r="A43" s="6" t="s">
        <v>424</v>
      </c>
      <c r="B43" s="16">
        <v>2854</v>
      </c>
      <c r="C43" s="16">
        <v>0</v>
      </c>
      <c r="D43" s="16">
        <v>0</v>
      </c>
      <c r="E43" s="16">
        <v>0</v>
      </c>
      <c r="F43" s="16">
        <v>2084</v>
      </c>
    </row>
    <row r="44" spans="1:6" x14ac:dyDescent="0.35">
      <c r="A44" s="6" t="s">
        <v>425</v>
      </c>
      <c r="B44" s="16">
        <v>22283</v>
      </c>
      <c r="C44" s="16">
        <v>63109</v>
      </c>
      <c r="D44" s="16">
        <v>30737</v>
      </c>
      <c r="E44" s="16">
        <v>29992</v>
      </c>
      <c r="F44" s="16">
        <v>27582</v>
      </c>
    </row>
    <row r="46" spans="1:6" x14ac:dyDescent="0.35">
      <c r="A46" s="3" t="s">
        <v>426</v>
      </c>
      <c r="B46" s="28">
        <f>B18-B26-B32</f>
        <v>0</v>
      </c>
      <c r="C46" s="28">
        <f>C18-C26-C32</f>
        <v>0</v>
      </c>
      <c r="D46" s="28">
        <f>D18-D26-D32</f>
        <v>0</v>
      </c>
      <c r="E46" s="28">
        <f>E18-E26-E32</f>
        <v>0</v>
      </c>
      <c r="F46" s="28">
        <f>F18-F26-F32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Inputs</vt:lpstr>
      <vt:lpstr>Forecast</vt:lpstr>
      <vt:lpstr>DCF</vt:lpstr>
      <vt:lpstr>LBO</vt:lpstr>
      <vt:lpstr>Merger</vt:lpstr>
      <vt:lpstr>Portfolio</vt:lpstr>
      <vt:lpstr>Checks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smith</cp:lastModifiedBy>
  <dcterms:created xsi:type="dcterms:W3CDTF">2026-10-12T18:02:33Z</dcterms:created>
  <dcterms:modified xsi:type="dcterms:W3CDTF">2026-10-12T18:02:36Z</dcterms:modified>
</cp:coreProperties>
</file>